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 Sc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<sst xmlns="http://schemas.openxmlformats.org/spreadsheetml/2006/main" count="15" uniqueCount="15">
  <si>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Student</t>
  </si>
  <si>
    <t xml:space="preserve">Score</t>
  </si>
  <si>
    <t xml:space="preserve">Grade</t>
  </si>
  <si>
    <t xml:space="preserve">Amira</t>
  </si>
  <si>
    <t xml:space="preserve">Omar</t>
  </si>
  <si>
    <t xml:space="preserve">Lina</t>
  </si>
  <si>
    <t xml:space="preserve">Karim</t>
  </si>
  <si>
    <t xml:space="preserve">Noor</t>
  </si>
  <si>
    <t xml:space="preserve">Salma</t>
  </si>
  <si>
    <t xml:space="preserve">Youssef</t>
  </si>
  <si>
    <t xml:space="preserve">Dina</t>
  </si>
  <si>
    <t xml:space="preserve">Hassan</t>
  </si>
  <si>
    <t xml:space="preserve">Mona</t>
  </si>
  <si>
    <t xml:space="preserve">Tariq</t>
  </si>
  <si>
    <t xml:space="preserve">Nadia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</si>
</sst>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94</v>
      </c>
      <c r="C2" s="0" t="str">
        <f aca="false">IF(B2&gt;=90,"A",IF(B2&gt;=80,"B",IF(B2&gt;=70,"C","F")))</f>
        <v>A</v>
      </c>
      <c r="E2" s="0" t="n">
        <f aca="false">COUNTIF(C2:C13,"A")</f>
        <v>3</v>
      </c>
    </row>
    <row r="3" customFormat="false" ht="15" hidden="false" customHeight="false" outlineLevel="0" collapsed="false">
      <c r="A3" s="0" t="s">
        <v>4</v>
      </c>
      <c r="B3" s="0" t="n">
        <v>82</v>
      </c>
      <c r="C3" s="0" t="str">
        <f aca="false">IF(B3&gt;=90,"A",IF(B3&gt;=80,"B",IF(B3&gt;=70,"C","F")))</f>
        <v>B</v>
      </c>
      <c r="E3" s="0" t="n">
        <f aca="false">COUNTIF(C2:C13,"B")</f>
        <v>3</v>
      </c>
    </row>
    <row r="4" customFormat="false" ht="15" hidden="false" customHeight="false" outlineLevel="0" collapsed="false">
      <c r="A4" s="0" t="s">
        <v>5</v>
      </c>
      <c r="B4" s="0" t="n">
        <v>67</v>
      </c>
      <c r="C4" s="0" t="str">
        <f aca="false">IF(B4&gt;=90,"A",IF(B4&gt;=80,"B",IF(B4&gt;=70,"C","F")))</f>
        <v>F</v>
      </c>
      <c r="E4" s="0" t="n">
        <f aca="false">COUNTIF(C2:C13,"C")</f>
        <v>4</v>
      </c>
    </row>
    <row r="5" customFormat="false" ht="15" hidden="false" customHeight="false" outlineLevel="0" collapsed="false">
      <c r="A5" s="0" t="s">
        <v>6</v>
      </c>
      <c r="B5" s="0" t="n">
        <v>90</v>
      </c>
      <c r="C5" s="0" t="str">
        <f aca="false">IF(B5&gt;=90,"A",IF(B5&gt;=80,"B",IF(B5&gt;=70,"C","F")))</f>
        <v>A</v>
      </c>
      <c r="E5" s="0" t="n">
        <f aca="false">COUNTIF(C2:C13,"F")</f>
        <v>2</v>
      </c>
    </row>
    <row r="6" customFormat="false" ht="15" hidden="false" customHeight="false" outlineLevel="0" collapsed="false">
      <c r="A6" s="0" t="s">
        <v>7</v>
      </c>
      <c r="B6" s="0" t="n">
        <v>78</v>
      </c>
      <c r="C6" s="0" t="str">
        <f aca="false">IF(B6&gt;=90,"A",IF(B6&gt;=80,"B",IF(B6&gt;=70,"C","F")))</f>
        <v>C</v>
      </c>
      <c r="E6" s="0" t="n">
        <f aca="false">B5</f>
        <v>90</v>
      </c>
    </row>
    <row r="7" customFormat="false" ht="15" hidden="false" customHeight="false" outlineLevel="0" collapsed="false">
      <c r="A7" s="0" t="s">
        <v>8</v>
      </c>
      <c r="B7" s="0" t="n">
        <v>55</v>
      </c>
      <c r="C7" s="0" t="str">
        <f aca="false">IF(B7&gt;=90,"A",IF(B7&gt;=80,"B",IF(B7&gt;=70,"C","F")))</f>
        <v>F</v>
      </c>
      <c r="E7" s="0" t="n">
        <f aca="false">90</f>
        <v>90</v>
      </c>
    </row>
    <row r="8" customFormat="false" ht="15" hidden="false" customHeight="false" outlineLevel="0" collapsed="false">
      <c r="A8" s="0" t="s">
        <v>9</v>
      </c>
      <c r="B8" s="0" t="n">
        <v>89</v>
      </c>
      <c r="C8" s="0" t="str">
        <f aca="false">IF(B8&gt;=90,"A",IF(B8&gt;=80,"B",IF(B8&gt;=70,"C","F")))</f>
        <v>B</v>
      </c>
      <c r="E8" s="0" t="n">
        <f aca="false">80</f>
        <v>80</v>
      </c>
    </row>
    <row r="9" customFormat="false" ht="15" hidden="false" customHeight="false" outlineLevel="0" collapsed="false">
      <c r="A9" s="0" t="s">
        <v>10</v>
      </c>
      <c r="B9" s="0" t="n">
        <v>70</v>
      </c>
      <c r="C9" s="0" t="str">
        <f aca="false">IF(B9&gt;=90,"A",IF(B9&gt;=80,"B",IF(B9&gt;=70,"C","F")))</f>
        <v>C</v>
      </c>
      <c r="E9" s="0" t="n">
        <f aca="false">70</f>
        <v>70</v>
      </c>
    </row>
    <row r="10" customFormat="false" ht="15" hidden="false" customHeight="false" outlineLevel="0" collapsed="false">
      <c r="A10" s="0" t="s">
        <v>11</v>
      </c>
      <c r="B10" s="0" t="n">
        <v>85</v>
      </c>
      <c r="C10" s="0" t="str">
        <f aca="false">IF(B10&gt;=90,"A",IF(B10&gt;=80,"B",IF(B10&gt;=70,"C","F")))</f>
        <v>B</v>
      </c>
    </row>
    <row r="11" customFormat="false" ht="15" hidden="false" customHeight="false" outlineLevel="0" collapsed="false">
      <c r="A11" s="0" t="s">
        <v>12</v>
      </c>
      <c r="B11" s="0" t="n">
        <v>98</v>
      </c>
      <c r="C11" s="0" t="str">
        <f aca="false">IF(B11&gt;=90,"A",IF(B11&gt;=80,"B",IF(B11&gt;=70,"C","F")))</f>
        <v>A</v>
      </c>
    </row>
    <row r="12" customFormat="false" ht="15" hidden="false" customHeight="false" outlineLevel="0" collapsed="false">
      <c r="A12" s="0" t="s">
        <v>13</v>
      </c>
      <c r="B12" s="0" t="n">
        <v>73</v>
      </c>
      <c r="C12" s="0" t="str">
        <f aca="false">IF(B12&gt;=90,"A",IF(B12&gt;=80,"B",IF(B12&gt;=70,"C","F")))</f>
        <v>C</v>
      </c>
    </row>
    <row r="13" customFormat="false" ht="15" hidden="false" customHeight="false" outlineLevel="0" collapsed="false">
      <c r="A13" s="0" t="s">
        <v>14</v>
      </c>
      <c r="B13" s="0" t="n">
        <v>79</v>
      </c>
      <c r="C13" s="0" t="str">
        <f aca="false">IF(B13&gt;=90,"A",IF(B13&gt;=80,"B",IF(B13&gt;=70,"C","F")))</f>
        <v>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2026-10-21T08:55:17Z</dcterms:created>
  <dc:creator>openpyxl</dc:creator>
  <dc:description/>
  <dc:language>en-AE</dc:language>
  <cp:lastModifiedBy/>
  <dcterms:modified xsi:type="dcterms:W3CDTF">2026-10-21T08:55:17Z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