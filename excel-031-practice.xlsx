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o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<sst xmlns="http://schemas.openxmlformats.org/spreadsheetml/2006/main" count="20" uniqueCount="19">
  <si>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Legacy Invoice</t>
  </si>
  <si>
    <t xml:space="preserve">Legacy Amount</t>
  </si>
  <si>
    <t xml:space="preserve">New Invoice</t>
  </si>
  <si>
    <t xml:space="preserve">New Amount</t>
  </si>
  <si>
    <t xml:space="preserve">INV-1001</t>
  </si>
  <si>
    <t xml:space="preserve">INV-1101</t>
  </si>
  <si>
    <t xml:space="preserve">INV-1002</t>
  </si>
  <si>
    <t xml:space="preserve">INV-1102</t>
  </si>
  <si>
    <t xml:space="preserve">INV-1003</t>
  </si>
  <si>
    <t xml:space="preserve">INV-1103</t>
  </si>
  <si>
    <t xml:space="preserve">INV-1004</t>
  </si>
  <si>
    <t xml:space="preserve">INV-1104</t>
  </si>
  <si>
    <t xml:space="preserve">INV-1005</t>
  </si>
  <si>
    <t xml:space="preserve">INV-1006</t>
  </si>
  <si>
    <t xml:space="preserve">INV-1105</t>
  </si>
  <si>
    <t xml:space="preserve">INV-1007</t>
  </si>
  <si>
    <t xml:space="preserve">INV-1106</t>
  </si>
  <si>
    <t xml:space="preserve">INV-1008</t>
  </si>
  <si>
    <t xml:space="preserve">INV-1107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</si>
</sst>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n">
        <v>420</v>
      </c>
      <c r="C2" s="0" t="s">
        <v>5</v>
      </c>
      <c r="D2" s="2" t="n">
        <v>1150</v>
      </c>
      <c r="F2" s="0" t="str">
        <f aca="false">"INV-1003"</f>
        <v>INV-1003</v>
      </c>
      <c r="H2" s="0" t="n">
        <f aca="false">IFERROR(VLOOKUP(F2,$A$2:$B$9,2,0),IFERROR(VLOOKUP(F2,$C$2:$D$9,2,0),"Not found"))</f>
        <v>1240</v>
      </c>
    </row>
    <row r="3" customFormat="false" ht="15" hidden="false" customHeight="false" outlineLevel="0" collapsed="false">
      <c r="A3" s="0" t="s">
        <v>6</v>
      </c>
      <c r="B3" s="2" t="n">
        <v>865</v>
      </c>
      <c r="C3" s="0" t="s">
        <v>7</v>
      </c>
      <c r="D3" s="2" t="n">
        <v>310</v>
      </c>
      <c r="F3" s="0" t="str">
        <f aca="false">"INV-1106"</f>
        <v>INV-1106</v>
      </c>
      <c r="H3" s="0" t="n">
        <f aca="false">IFERROR(VLOOKUP(F3,$A$2:$B$9,2,0),IFERROR(VLOOKUP(F3,$C$2:$D$9,2,0),"Not found"))</f>
        <v>1380</v>
      </c>
    </row>
    <row r="4" customFormat="false" ht="15" hidden="false" customHeight="false" outlineLevel="0" collapsed="false">
      <c r="A4" s="0" t="s">
        <v>8</v>
      </c>
      <c r="B4" s="2" t="n">
        <v>1240</v>
      </c>
      <c r="C4" s="0" t="s">
        <v>9</v>
      </c>
      <c r="D4" s="2" t="n">
        <v>780</v>
      </c>
      <c r="F4" s="0" t="str">
        <f aca="false">"INV-1004"</f>
        <v>INV-1004</v>
      </c>
      <c r="H4" s="0" t="n">
        <f aca="false">IFERROR(VLOOKUP(F4,$A$2:$B$9,2,0),IFERROR(VLOOKUP(F4,$C$2:$D$9,2,0),"Not found"))</f>
        <v>355</v>
      </c>
    </row>
    <row r="5" customFormat="false" ht="15" hidden="false" customHeight="false" outlineLevel="0" collapsed="false">
      <c r="A5" s="0" t="s">
        <v>10</v>
      </c>
      <c r="B5" s="2" t="n">
        <v>355</v>
      </c>
      <c r="C5" s="0" t="s">
        <v>11</v>
      </c>
      <c r="D5" s="2" t="n">
        <v>925</v>
      </c>
      <c r="F5" s="0" t="str">
        <f aca="false">"INV-1999"</f>
        <v>INV-1999</v>
      </c>
      <c r="H5" s="0" t="str">
        <f aca="false">IFERROR(VLOOKUP(F5,$A$2:$B$9,2,0),IFERROR(VLOOKUP(F5,$C$2:$D$9,2,0),"Not found"))</f>
        <v>Not found</v>
      </c>
    </row>
    <row r="6" customFormat="false" ht="15" hidden="false" customHeight="false" outlineLevel="0" collapsed="false">
      <c r="A6" s="0" t="s">
        <v>12</v>
      </c>
      <c r="B6" s="2" t="n">
        <v>610</v>
      </c>
      <c r="C6" s="0" t="s">
        <v>10</v>
      </c>
      <c r="D6" s="2" t="n">
        <v>380</v>
      </c>
      <c r="H6" s="0" t="n">
        <f aca="false">IFERROR(VLOOKUP(F4,$C$2:$D$9,2,0),IFERROR(VLOOKUP(F4,$A$2:$B$9,2,0),"Not found"))</f>
        <v>380</v>
      </c>
    </row>
    <row r="7" customFormat="false" ht="15" hidden="false" customHeight="false" outlineLevel="0" collapsed="false">
      <c r="A7" s="0" t="s">
        <v>13</v>
      </c>
      <c r="B7" s="2" t="n">
        <v>775</v>
      </c>
      <c r="C7" s="0" t="s">
        <v>14</v>
      </c>
      <c r="D7" s="2" t="n">
        <v>540</v>
      </c>
    </row>
    <row r="8" customFormat="false" ht="15" hidden="false" customHeight="false" outlineLevel="0" collapsed="false">
      <c r="A8" s="0" t="s">
        <v>15</v>
      </c>
      <c r="B8" s="2" t="n">
        <v>290</v>
      </c>
      <c r="C8" s="0" t="s">
        <v>16</v>
      </c>
      <c r="D8" s="2" t="n">
        <v>1380</v>
      </c>
    </row>
    <row r="9" customFormat="false" ht="15" hidden="false" customHeight="false" outlineLevel="0" collapsed="false">
      <c r="A9" s="0" t="s">
        <v>17</v>
      </c>
      <c r="B9" s="2" t="n">
        <v>505</v>
      </c>
      <c r="C9" s="0" t="s">
        <v>18</v>
      </c>
      <c r="D9" s="2" t="n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2026-10-27T07:29:54Z</dcterms:created>
  <dc:creator>openpyxl</dc:creator>
  <dc:description/>
  <dc:language>en-AE</dc:language>
  <cp:lastModifiedBy/>
  <dcterms:modified xsi:type="dcterms:W3CDTF">2026-10-27T07:29:54Z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