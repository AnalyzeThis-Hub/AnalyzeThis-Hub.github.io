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Fitnes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<sst xmlns="http://schemas.openxmlformats.org/spreadsheetml/2006/main" count="32" uniqueCount="21">
  <si>
    <t xml:space="preserve">Player</t>
  </si>
  <si>
    <t xml:space="preserve">Team</t>
  </si>
  <si>
    <t xml:space="preserve">Score</t>
  </si>
  <si>
    <t xml:space="preserve">Rating</t>
  </si>
  <si>
    <t xml:space="preserve">Tariq</t>
  </si>
  <si>
    <t xml:space="preserve">Hawks</t>
  </si>
  <si>
    <t xml:space="preserve">Elena</t>
  </si>
  <si>
    <t xml:space="preserve">Wolves</t>
  </si>
  <si>
    <t xml:space="preserve">Joon</t>
  </si>
  <si>
    <t xml:space="preserve">Comets</t>
  </si>
  <si>
    <t xml:space="preserve">Priya</t>
  </si>
  <si>
    <t xml:space="preserve">Marco</t>
  </si>
  <si>
    <t xml:space="preserve">Sana</t>
  </si>
  <si>
    <t xml:space="preserve">Dmitri</t>
  </si>
  <si>
    <t xml:space="preserve">Kofi</t>
  </si>
  <si>
    <t xml:space="preserve">Lena</t>
  </si>
  <si>
    <t xml:space="preserve">Ravi</t>
  </si>
  <si>
    <t xml:space="preserve">Zoe</t>
  </si>
  <si>
    <t xml:space="preserve">Hugo</t>
  </si>
  <si>
    <t xml:space="preserve">Nadia</t>
  </si>
  <si>
    <t xml:space="preserve">Beni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</si>
</sst>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3D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4E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3" min="1" style="0" width="11"/>
    <col collapsed="false" customWidth="true" hidden="false" outlineLevel="0" max="4" min="4" style="0" width="3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0" t="s">
        <v>4</v>
      </c>
      <c r="B2" s="0" t="s">
        <v>5</v>
      </c>
      <c r="C2" s="0" t="n">
        <v>92</v>
      </c>
      <c r="D2" s="0" t="str">
        <f aca="false">_xlfn.IFS(C2&gt;=90,"Elite",C2&gt;=75,"Strong",C2&gt;=50,"Developing")</f>
        <v>Elite</v>
      </c>
      <c r="F2" s="0" t="n">
        <f aca="false">COUNTIF(D2:D15,"Elite")</f>
        <v>3</v>
      </c>
    </row>
    <row r="3" customFormat="false" ht="15" hidden="false" customHeight="false" outlineLevel="0" collapsed="false">
      <c r="A3" s="0" t="s">
        <v>6</v>
      </c>
      <c r="B3" s="0" t="s">
        <v>7</v>
      </c>
      <c r="C3" s="0" t="n">
        <v>78</v>
      </c>
      <c r="D3" s="0" t="str">
        <f aca="false">_xlfn.IFS(C3&gt;=90,"Elite",C3&gt;=75,"Strong",C3&gt;=50,"Developing")</f>
        <v>Strong</v>
      </c>
      <c r="F3" s="0" t="n">
        <f aca="false">COUNTIF(D2:D15,"Strong")</f>
        <v>5</v>
      </c>
    </row>
    <row r="4" customFormat="false" ht="15" hidden="false" customHeight="false" outlineLevel="0" collapsed="false">
      <c r="A4" s="0" t="s">
        <v>8</v>
      </c>
      <c r="B4" s="0" t="s">
        <v>9</v>
      </c>
      <c r="C4" s="0" t="n">
        <v>64</v>
      </c>
      <c r="D4" s="0" t="str">
        <f aca="false">_xlfn.IFS(C4&gt;=90,"Elite",C4&gt;=75,"Strong",C4&gt;=50,"Developing")</f>
        <v>Developing</v>
      </c>
      <c r="F4" s="0" t="n">
        <f aca="false">COUNTIF(D2:D15,"Developing")</f>
        <v>6</v>
      </c>
    </row>
    <row r="5" customFormat="false" ht="15" hidden="false" customHeight="false" outlineLevel="0" collapsed="false">
      <c r="A5" s="0" t="s">
        <v>10</v>
      </c>
      <c r="B5" s="0" t="s">
        <v>5</v>
      </c>
      <c r="C5" s="0" t="n">
        <v>88</v>
      </c>
      <c r="D5" s="0" t="str">
        <f aca="false">_xlfn.IFS(C5&gt;=90,"Elite",C5&gt;=75,"Strong",C5&gt;=50,"Developing")</f>
        <v>Strong</v>
      </c>
      <c r="F5" s="0" t="n">
        <f aca="false">90</f>
        <v>90</v>
      </c>
    </row>
    <row r="6" customFormat="false" ht="15" hidden="false" customHeight="false" outlineLevel="0" collapsed="false">
      <c r="A6" s="0" t="s">
        <v>11</v>
      </c>
      <c r="B6" s="0" t="s">
        <v>7</v>
      </c>
      <c r="C6" s="0" t="n">
        <v>95</v>
      </c>
      <c r="D6" s="0" t="str">
        <f aca="false">_xlfn.IFS(C6&gt;=90,"Elite",C6&gt;=75,"Strong",C6&gt;=50,"Developing")</f>
        <v>Elite</v>
      </c>
      <c r="F6" s="0" t="n">
        <f aca="false">75</f>
        <v>75</v>
      </c>
    </row>
    <row r="7" customFormat="false" ht="15" hidden="false" customHeight="false" outlineLevel="0" collapsed="false">
      <c r="A7" s="0" t="s">
        <v>12</v>
      </c>
      <c r="B7" s="0" t="s">
        <v>9</v>
      </c>
      <c r="C7" s="0" t="n">
        <v>51</v>
      </c>
      <c r="D7" s="0" t="str">
        <f aca="false">_xlfn.IFS(C7&gt;=90,"Elite",C7&gt;=75,"Strong",C7&gt;=50,"Developing")</f>
        <v>Developing</v>
      </c>
      <c r="F7" s="0" t="n">
        <f aca="false">50</f>
        <v>50</v>
      </c>
    </row>
    <row r="8" customFormat="false" ht="15" hidden="false" customHeight="false" outlineLevel="0" collapsed="false">
      <c r="A8" s="0" t="s">
        <v>13</v>
      </c>
      <c r="B8" s="0" t="s">
        <v>5</v>
      </c>
      <c r="C8" s="0" t="n">
        <v>81</v>
      </c>
      <c r="D8" s="0" t="str">
        <f aca="false">_xlfn.IFS(C8&gt;=90,"Elite",C8&gt;=75,"Strong",C8&gt;=50,"Developing")</f>
        <v>Strong</v>
      </c>
    </row>
    <row r="9" customFormat="false" ht="15" hidden="false" customHeight="false" outlineLevel="0" collapsed="false">
      <c r="A9" s="0" t="s">
        <v>14</v>
      </c>
      <c r="B9" s="0" t="s">
        <v>7</v>
      </c>
      <c r="C9" s="0" t="n">
        <v>70</v>
      </c>
      <c r="D9" s="0" t="str">
        <f aca="false">_xlfn.IFS(C9&gt;=90,"Elite",C9&gt;=75,"Strong",C9&gt;=50,"Developing")</f>
        <v>Developing</v>
      </c>
    </row>
    <row r="10" customFormat="false" ht="15" hidden="false" customHeight="false" outlineLevel="0" collapsed="false">
      <c r="A10" s="0" t="s">
        <v>15</v>
      </c>
      <c r="B10" s="0" t="s">
        <v>9</v>
      </c>
      <c r="C10" s="0" t="n">
        <v>90</v>
      </c>
      <c r="D10" s="0" t="str">
        <f aca="false">_xlfn.IFS(C10&gt;=90,"Elite",C10&gt;=75,"Strong",C10&gt;=50,"Developing")</f>
        <v>Elite</v>
      </c>
    </row>
    <row r="11" customFormat="false" ht="15" hidden="false" customHeight="false" outlineLevel="0" collapsed="false">
      <c r="A11" s="0" t="s">
        <v>16</v>
      </c>
      <c r="B11" s="0" t="s">
        <v>5</v>
      </c>
      <c r="C11" s="0" t="n">
        <v>75</v>
      </c>
      <c r="D11" s="0" t="str">
        <f aca="false">_xlfn.IFS(C11&gt;=90,"Elite",C11&gt;=75,"Strong",C11&gt;=50,"Developing")</f>
        <v>Strong</v>
      </c>
    </row>
    <row r="12" customFormat="false" ht="15" hidden="false" customHeight="false" outlineLevel="0" collapsed="false">
      <c r="A12" s="0" t="s">
        <v>17</v>
      </c>
      <c r="B12" s="0" t="s">
        <v>7</v>
      </c>
      <c r="C12" s="0" t="n">
        <v>59</v>
      </c>
      <c r="D12" s="0" t="str">
        <f aca="false">_xlfn.IFS(C12&gt;=90,"Elite",C12&gt;=75,"Strong",C12&gt;=50,"Developing")</f>
        <v>Developing</v>
      </c>
    </row>
    <row r="13" customFormat="false" ht="15" hidden="false" customHeight="false" outlineLevel="0" collapsed="false">
      <c r="A13" s="0" t="s">
        <v>18</v>
      </c>
      <c r="B13" s="0" t="s">
        <v>9</v>
      </c>
      <c r="C13" s="0" t="n">
        <v>84</v>
      </c>
      <c r="D13" s="0" t="str">
        <f aca="false">_xlfn.IFS(C13&gt;=90,"Elite",C13&gt;=75,"Strong",C13&gt;=50,"Developing")</f>
        <v>Strong</v>
      </c>
    </row>
    <row r="14" customFormat="false" ht="15" hidden="false" customHeight="false" outlineLevel="0" collapsed="false">
      <c r="A14" s="0" t="s">
        <v>19</v>
      </c>
      <c r="B14" s="0" t="s">
        <v>5</v>
      </c>
      <c r="C14" s="0" t="n">
        <v>50</v>
      </c>
      <c r="D14" s="0" t="str">
        <f aca="false">_xlfn.IFS(C14&gt;=90,"Elite",C14&gt;=75,"Strong",C14&gt;=50,"Developing")</f>
        <v>Developing</v>
      </c>
    </row>
    <row r="15" customFormat="false" ht="15" hidden="false" customHeight="false" outlineLevel="0" collapsed="false">
      <c r="A15" s="0" t="s">
        <v>20</v>
      </c>
      <c r="B15" s="0" t="s">
        <v>7</v>
      </c>
      <c r="C15" s="0" t="n">
        <v>73</v>
      </c>
      <c r="D15" s="0" t="str">
        <f aca="false">_xlfn.IFS(C15&gt;=90,"Elite",C15&gt;=75,"Strong",C15&gt;=50,"Developing")</f>
        <v>Developing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LibreOffice/26.8.1.1$Windows_X86_64 LibreOffice_project/bf6ef2662401c7d6dce671ab4deb26ee0af3a7c1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2026-10-25T08:23:56Z</dcterms:created>
  <dc:creator>openpyxl</dc:creator>
  <dc:description/>
  <dc:language>en-AE</dc:language>
  <cp:lastModifiedBy/>
  <dcterms:modified xsi:type="dcterms:W3CDTF">2026-10-25T08:23:56Z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