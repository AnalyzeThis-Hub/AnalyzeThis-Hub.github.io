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<sst xmlns="http://schemas.openxmlformats.org/spreadsheetml/2006/main" count="53" uniqueCount="29">
  <si>
    <t xml:space="preserve">Order</t>
  </si>
  <si>
    <t xml:space="preserve">Code</t>
  </si>
  <si>
    <t xml:space="preserve">Server</t>
  </si>
  <si>
    <t xml:space="preserve">Total</t>
  </si>
  <si>
    <t xml:space="preserve">Order Type</t>
  </si>
  <si>
    <t xml:space="preserve">A101</t>
  </si>
  <si>
    <t xml:space="preserve">D</t>
  </si>
  <si>
    <t xml:space="preserve">Lina</t>
  </si>
  <si>
    <t xml:space="preserve">A102</t>
  </si>
  <si>
    <t xml:space="preserve">T</t>
  </si>
  <si>
    <t xml:space="preserve">Omar</t>
  </si>
  <si>
    <t xml:space="preserve">A103</t>
  </si>
  <si>
    <t xml:space="preserve">L</t>
  </si>
  <si>
    <t xml:space="preserve">Noor</t>
  </si>
  <si>
    <t xml:space="preserve">A104</t>
  </si>
  <si>
    <t xml:space="preserve">A105</t>
  </si>
  <si>
    <t xml:space="preserve">Karim</t>
  </si>
  <si>
    <t xml:space="preserve">A106</t>
  </si>
  <si>
    <t xml:space="preserve">A107</t>
  </si>
  <si>
    <t xml:space="preserve">Salma</t>
  </si>
  <si>
    <t xml:space="preserve">A108</t>
  </si>
  <si>
    <t xml:space="preserve">A109</t>
  </si>
  <si>
    <t xml:space="preserve">A110</t>
  </si>
  <si>
    <t xml:space="preserve">A111</t>
  </si>
  <si>
    <t xml:space="preserve">A112</t>
  </si>
  <si>
    <t xml:space="preserve">A113</t>
  </si>
  <si>
    <t xml:space="preserve">A114</t>
  </si>
  <si>
    <t xml:space="preserve">A115</t>
  </si>
  <si>
    <t xml:space="preserve">A116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</si>
</sst>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1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2" t="n">
        <v>48</v>
      </c>
      <c r="E2" s="0" t="str">
        <f aca="false">_xlfn.SWITCH(B2,"T","Takeaway","D","Dine-in","L","Delivery")</f>
        <v>Dine-in</v>
      </c>
      <c r="G2" s="0" t="n">
        <f aca="false">COUNTIF(E2:E17,"Dine-in")</f>
        <v>6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2" t="n">
        <v>22</v>
      </c>
      <c r="E3" s="0" t="str">
        <f aca="false">_xlfn.SWITCH(B3,"T","Takeaway","D","Dine-in","L","Delivery")</f>
        <v>Takeaway</v>
      </c>
      <c r="G3" s="0" t="n">
        <f aca="false">COUNTIF(E2:E17,"Takeaway")</f>
        <v>5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13</v>
      </c>
      <c r="D4" s="2" t="n">
        <v>35</v>
      </c>
      <c r="E4" s="0" t="str">
        <f aca="false">_xlfn.SWITCH(B4,"T","Takeaway","D","Dine-in","L","Delivery")</f>
        <v>Delivery</v>
      </c>
      <c r="G4" s="0" t="n">
        <f aca="false">COUNTIF(E2:E17,"Delivery")</f>
        <v>5</v>
      </c>
    </row>
    <row r="5" customFormat="false" ht="15" hidden="false" customHeight="false" outlineLevel="0" collapsed="false">
      <c r="A5" s="0" t="s">
        <v>14</v>
      </c>
      <c r="B5" s="0" t="s">
        <v>6</v>
      </c>
      <c r="C5" s="0" t="s">
        <v>7</v>
      </c>
      <c r="D5" s="2" t="n">
        <v>64</v>
      </c>
      <c r="E5" s="0" t="str">
        <f aca="false">_xlfn.SWITCH(B5,"T","Takeaway","D","Dine-in","L","Delivery")</f>
        <v>Dine-in</v>
      </c>
    </row>
    <row r="6" customFormat="false" ht="15" hidden="false" customHeight="false" outlineLevel="0" collapsed="false">
      <c r="A6" s="0" t="s">
        <v>15</v>
      </c>
      <c r="B6" s="0" t="s">
        <v>9</v>
      </c>
      <c r="C6" s="0" t="s">
        <v>16</v>
      </c>
      <c r="D6" s="2" t="n">
        <v>18</v>
      </c>
      <c r="E6" s="0" t="str">
        <f aca="false">_xlfn.SWITCH(B6,"T","Takeaway","D","Dine-in","L","Delivery")</f>
        <v>Takeaway</v>
      </c>
    </row>
    <row r="7" customFormat="false" ht="15" hidden="false" customHeight="false" outlineLevel="0" collapsed="false">
      <c r="A7" s="0" t="s">
        <v>17</v>
      </c>
      <c r="B7" s="0" t="s">
        <v>6</v>
      </c>
      <c r="C7" s="0" t="s">
        <v>10</v>
      </c>
      <c r="D7" s="2" t="n">
        <v>52</v>
      </c>
      <c r="E7" s="0" t="str">
        <f aca="false">_xlfn.SWITCH(B7,"T","Takeaway","D","Dine-in","L","Delivery")</f>
        <v>Dine-in</v>
      </c>
    </row>
    <row r="8" customFormat="false" ht="15" hidden="false" customHeight="false" outlineLevel="0" collapsed="false">
      <c r="A8" s="0" t="s">
        <v>18</v>
      </c>
      <c r="B8" s="0" t="s">
        <v>12</v>
      </c>
      <c r="C8" s="0" t="s">
        <v>19</v>
      </c>
      <c r="D8" s="2" t="n">
        <v>41</v>
      </c>
      <c r="E8" s="0" t="str">
        <f aca="false">_xlfn.SWITCH(B8,"T","Takeaway","D","Dine-in","L","Delivery")</f>
        <v>Delivery</v>
      </c>
    </row>
    <row r="9" customFormat="false" ht="15" hidden="false" customHeight="false" outlineLevel="0" collapsed="false">
      <c r="A9" s="0" t="s">
        <v>20</v>
      </c>
      <c r="B9" s="0" t="s">
        <v>9</v>
      </c>
      <c r="C9" s="0" t="s">
        <v>13</v>
      </c>
      <c r="D9" s="2" t="n">
        <v>27</v>
      </c>
      <c r="E9" s="0" t="str">
        <f aca="false">_xlfn.SWITCH(B9,"T","Takeaway","D","Dine-in","L","Delivery")</f>
        <v>Takeaway</v>
      </c>
    </row>
    <row r="10" customFormat="false" ht="15" hidden="false" customHeight="false" outlineLevel="0" collapsed="false">
      <c r="A10" s="0" t="s">
        <v>21</v>
      </c>
      <c r="B10" s="0" t="s">
        <v>6</v>
      </c>
      <c r="C10" s="0" t="s">
        <v>16</v>
      </c>
      <c r="D10" s="2" t="n">
        <v>73</v>
      </c>
      <c r="E10" s="0" t="str">
        <f aca="false">_xlfn.SWITCH(B10,"T","Takeaway","D","Dine-in","L","Delivery")</f>
        <v>Dine-in</v>
      </c>
    </row>
    <row r="11" customFormat="false" ht="15" hidden="false" customHeight="false" outlineLevel="0" collapsed="false">
      <c r="A11" s="0" t="s">
        <v>22</v>
      </c>
      <c r="B11" s="0" t="s">
        <v>12</v>
      </c>
      <c r="C11" s="0" t="s">
        <v>7</v>
      </c>
      <c r="D11" s="2" t="n">
        <v>30</v>
      </c>
      <c r="E11" s="0" t="str">
        <f aca="false">_xlfn.SWITCH(B11,"T","Takeaway","D","Dine-in","L","Delivery")</f>
        <v>Delivery</v>
      </c>
    </row>
    <row r="12" customFormat="false" ht="15" hidden="false" customHeight="false" outlineLevel="0" collapsed="false">
      <c r="A12" s="0" t="s">
        <v>23</v>
      </c>
      <c r="B12" s="0" t="s">
        <v>9</v>
      </c>
      <c r="C12" s="0" t="s">
        <v>19</v>
      </c>
      <c r="D12" s="2" t="n">
        <v>16</v>
      </c>
      <c r="E12" s="0" t="str">
        <f aca="false">_xlfn.SWITCH(B12,"T","Takeaway","D","Dine-in","L","Delivery")</f>
        <v>Takeaway</v>
      </c>
    </row>
    <row r="13" customFormat="false" ht="15" hidden="false" customHeight="false" outlineLevel="0" collapsed="false">
      <c r="A13" s="0" t="s">
        <v>24</v>
      </c>
      <c r="B13" s="0" t="s">
        <v>6</v>
      </c>
      <c r="C13" s="0" t="s">
        <v>13</v>
      </c>
      <c r="D13" s="2" t="n">
        <v>58</v>
      </c>
      <c r="E13" s="0" t="str">
        <f aca="false">_xlfn.SWITCH(B13,"T","Takeaway","D","Dine-in","L","Delivery")</f>
        <v>Dine-in</v>
      </c>
    </row>
    <row r="14" customFormat="false" ht="15" hidden="false" customHeight="false" outlineLevel="0" collapsed="false">
      <c r="A14" s="0" t="s">
        <v>25</v>
      </c>
      <c r="B14" s="0" t="s">
        <v>12</v>
      </c>
      <c r="C14" s="0" t="s">
        <v>10</v>
      </c>
      <c r="D14" s="2" t="n">
        <v>39</v>
      </c>
      <c r="E14" s="0" t="str">
        <f aca="false">_xlfn.SWITCH(B14,"T","Takeaway","D","Dine-in","L","Delivery")</f>
        <v>Delivery</v>
      </c>
    </row>
    <row r="15" customFormat="false" ht="15" hidden="false" customHeight="false" outlineLevel="0" collapsed="false">
      <c r="A15" s="0" t="s">
        <v>26</v>
      </c>
      <c r="B15" s="0" t="s">
        <v>6</v>
      </c>
      <c r="C15" s="0" t="s">
        <v>19</v>
      </c>
      <c r="D15" s="2" t="n">
        <v>45</v>
      </c>
      <c r="E15" s="0" t="str">
        <f aca="false">_xlfn.SWITCH(B15,"T","Takeaway","D","Dine-in","L","Delivery")</f>
        <v>Dine-in</v>
      </c>
    </row>
    <row r="16" customFormat="false" ht="15" hidden="false" customHeight="false" outlineLevel="0" collapsed="false">
      <c r="A16" s="0" t="s">
        <v>27</v>
      </c>
      <c r="B16" s="0" t="s">
        <v>9</v>
      </c>
      <c r="C16" s="0" t="s">
        <v>16</v>
      </c>
      <c r="D16" s="2" t="n">
        <v>24</v>
      </c>
      <c r="E16" s="0" t="str">
        <f aca="false">_xlfn.SWITCH(B16,"T","Takeaway","D","Dine-in","L","Delivery")</f>
        <v>Takeaway</v>
      </c>
    </row>
    <row r="17" customFormat="false" ht="15" hidden="false" customHeight="false" outlineLevel="0" collapsed="false">
      <c r="A17" s="0" t="s">
        <v>28</v>
      </c>
      <c r="B17" s="0" t="s">
        <v>12</v>
      </c>
      <c r="C17" s="0" t="s">
        <v>13</v>
      </c>
      <c r="D17" s="2" t="n">
        <v>33</v>
      </c>
      <c r="E17" s="0" t="str">
        <f aca="false">_xlfn.SWITCH(B17,"T","Takeaway","D","Dine-in","L","Delivery")</f>
        <v>Delivery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2026-10-25T09:00:50Z</dcterms:created>
  <dc:creator>openpyxl</dc:creator>
  <dc:description/>
  <dc:language>en-AE</dc:language>
  <cp:lastModifiedBy/>
  <dcterms:modified xsi:type="dcterms:W3CDTF">2026-10-25T09:00:50Z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