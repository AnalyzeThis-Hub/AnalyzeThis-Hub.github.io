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onu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<sst xmlns="http://schemas.openxmlformats.org/spreadsheetml/2006/main" count="16" uniqueCount="16">
  <si>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Rep</t>
  </si>
  <si>
    <t xml:space="preserve">Sales</t>
  </si>
  <si>
    <t xml:space="preserve">Target</t>
  </si>
  <si>
    <t xml:space="preserve">Bonus</t>
  </si>
  <si>
    <t xml:space="preserve">Amira</t>
  </si>
  <si>
    <t xml:space="preserve">Karim</t>
  </si>
  <si>
    <t xml:space="preserve">Lina</t>
  </si>
  <si>
    <t xml:space="preserve">Omar</t>
  </si>
  <si>
    <t xml:space="preserve">Noor</t>
  </si>
  <si>
    <t xml:space="preserve">Salma</t>
  </si>
  <si>
    <t xml:space="preserve">Youssef</t>
  </si>
  <si>
    <t xml:space="preserve">Dina</t>
  </si>
  <si>
    <t xml:space="preserve">Hassan</t>
  </si>
  <si>
    <t xml:space="preserve">Mona</t>
  </si>
  <si>
    <t xml:space="preserve">Tariq</t>
  </si>
  <si>
    <t xml:space="preserve">Rania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</si>
</sst>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2" t="n">
        <v>12500</v>
      </c>
      <c r="C2" s="2" t="n">
        <v>15000</v>
      </c>
      <c r="D2" s="0" t="n">
        <f aca="false">IF(B2&gt;=C2,MIN(B2*8%,$F$2),0)</f>
        <v>0</v>
      </c>
      <c r="F2" s="0" t="n">
        <f aca="false">1500</f>
        <v>1500</v>
      </c>
    </row>
    <row r="3" customFormat="false" ht="15" hidden="false" customHeight="false" outlineLevel="0" collapsed="false">
      <c r="A3" s="0" t="s">
        <v>5</v>
      </c>
      <c r="B3" s="2" t="n">
        <v>21000</v>
      </c>
      <c r="C3" s="2" t="n">
        <v>18000</v>
      </c>
      <c r="D3" s="0" t="n">
        <f aca="false">IF(B3&gt;=C3,MIN(B3*8%,$F$2),0)</f>
        <v>1500</v>
      </c>
      <c r="F3" s="0" t="n">
        <f aca="false">SUM(D2:D13)</f>
        <v>10668</v>
      </c>
    </row>
    <row r="4" customFormat="false" ht="15" hidden="false" customHeight="false" outlineLevel="0" collapsed="false">
      <c r="A4" s="0" t="s">
        <v>6</v>
      </c>
      <c r="B4" s="2" t="n">
        <v>16400</v>
      </c>
      <c r="C4" s="2" t="n">
        <v>15000</v>
      </c>
      <c r="D4" s="0" t="n">
        <f aca="false">IF(B4&gt;=C4,MIN(B4*8%,$F$2),0)</f>
        <v>1312</v>
      </c>
      <c r="F4" s="0" t="n">
        <f aca="false">COUNTIF(D2:D13,F2)</f>
        <v>3</v>
      </c>
    </row>
    <row r="5" customFormat="false" ht="15" hidden="false" customHeight="false" outlineLevel="0" collapsed="false">
      <c r="A5" s="0" t="s">
        <v>7</v>
      </c>
      <c r="B5" s="2" t="n">
        <v>9800</v>
      </c>
      <c r="C5" s="2" t="n">
        <v>12000</v>
      </c>
      <c r="D5" s="0" t="n">
        <f aca="false">IF(B5&gt;=C5,MIN(B5*8%,$F$2),0)</f>
        <v>0</v>
      </c>
      <c r="F5" s="0" t="n">
        <f aca="false">COUNTIF(D2:D13,0)</f>
        <v>4</v>
      </c>
    </row>
    <row r="6" customFormat="false" ht="15" hidden="false" customHeight="false" outlineLevel="0" collapsed="false">
      <c r="A6" s="0" t="s">
        <v>8</v>
      </c>
      <c r="B6" s="2" t="n">
        <v>26500</v>
      </c>
      <c r="C6" s="2" t="n">
        <v>20000</v>
      </c>
      <c r="D6" s="0" t="n">
        <f aca="false">IF(B6&gt;=C6,MIN(B6*8%,$F$2),0)</f>
        <v>1500</v>
      </c>
      <c r="F6" s="0" t="n">
        <f aca="false">D4</f>
        <v>1312</v>
      </c>
    </row>
    <row r="7" customFormat="false" ht="15" hidden="false" customHeight="false" outlineLevel="0" collapsed="false">
      <c r="A7" s="0" t="s">
        <v>9</v>
      </c>
      <c r="B7" s="2" t="n">
        <v>14200</v>
      </c>
      <c r="C7" s="2" t="n">
        <v>14000</v>
      </c>
      <c r="D7" s="0" t="n">
        <f aca="false">IF(B7&gt;=C7,MIN(B7*8%,$F$2),0)</f>
        <v>1136</v>
      </c>
      <c r="F7" s="0" t="n">
        <f aca="false">MAX(B4*8%,F2)</f>
        <v>1500</v>
      </c>
    </row>
    <row r="8" customFormat="false" ht="15" hidden="false" customHeight="false" outlineLevel="0" collapsed="false">
      <c r="A8" s="0" t="s">
        <v>10</v>
      </c>
      <c r="B8" s="2" t="n">
        <v>18000</v>
      </c>
      <c r="C8" s="2" t="n">
        <v>16000</v>
      </c>
      <c r="D8" s="0" t="n">
        <f aca="false">IF(B8&gt;=C8,MIN(B8*8%,$F$2),0)</f>
        <v>1440</v>
      </c>
    </row>
    <row r="9" customFormat="false" ht="15" hidden="false" customHeight="false" outlineLevel="0" collapsed="false">
      <c r="A9" s="0" t="s">
        <v>11</v>
      </c>
      <c r="B9" s="2" t="n">
        <v>11300</v>
      </c>
      <c r="C9" s="2" t="n">
        <v>10000</v>
      </c>
      <c r="D9" s="0" t="n">
        <f aca="false">IF(B9&gt;=C9,MIN(B9*8%,$F$2),0)</f>
        <v>904</v>
      </c>
    </row>
    <row r="10" customFormat="false" ht="15" hidden="false" customHeight="false" outlineLevel="0" collapsed="false">
      <c r="A10" s="0" t="s">
        <v>12</v>
      </c>
      <c r="B10" s="2" t="n">
        <v>22400</v>
      </c>
      <c r="C10" s="2" t="n">
        <v>20000</v>
      </c>
      <c r="D10" s="0" t="n">
        <f aca="false">IF(B10&gt;=C10,MIN(B10*8%,$F$2),0)</f>
        <v>1500</v>
      </c>
    </row>
    <row r="11" customFormat="false" ht="15" hidden="false" customHeight="false" outlineLevel="0" collapsed="false">
      <c r="A11" s="0" t="s">
        <v>13</v>
      </c>
      <c r="B11" s="2" t="n">
        <v>13500</v>
      </c>
      <c r="C11" s="2" t="n">
        <v>15000</v>
      </c>
      <c r="D11" s="0" t="n">
        <f aca="false">IF(B11&gt;=C11,MIN(B11*8%,$F$2),0)</f>
        <v>0</v>
      </c>
    </row>
    <row r="12" customFormat="false" ht="15" hidden="false" customHeight="false" outlineLevel="0" collapsed="false">
      <c r="A12" s="0" t="s">
        <v>14</v>
      </c>
      <c r="B12" s="2" t="n">
        <v>17200</v>
      </c>
      <c r="C12" s="2" t="n">
        <v>17000</v>
      </c>
      <c r="D12" s="0" t="n">
        <f aca="false">IF(B12&gt;=C12,MIN(B12*8%,$F$2),0)</f>
        <v>1376</v>
      </c>
    </row>
    <row r="13" customFormat="false" ht="15" hidden="false" customHeight="false" outlineLevel="0" collapsed="false">
      <c r="A13" s="0" t="s">
        <v>15</v>
      </c>
      <c r="B13" s="2" t="n">
        <v>15900</v>
      </c>
      <c r="C13" s="2" t="n">
        <v>16500</v>
      </c>
      <c r="D13" s="0" t="n">
        <f aca="false">IF(B13&gt;=C13,MIN(B13*8%,$F$2),0)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2026-10-28T09:46:28Z</dcterms:created>
  <dc:creator>openpyxl</dc:creator>
  <dc:description/>
  <dc:language>en-AE</dc:language>
  <cp:lastModifiedBy/>
  <dcterms:modified xsi:type="dcterms:W3CDTF">2026-10-28T09:46:28Z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