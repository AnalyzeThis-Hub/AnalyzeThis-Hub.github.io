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ce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<sst xmlns="http://schemas.openxmlformats.org/spreadsheetml/2006/main" count="42" uniqueCount="24">
  <si>
    <t xml:space="preserve">Parcel</t>
  </si>
  <si>
    <t xml:space="preserve">Destination</t>
  </si>
  <si>
    <t xml:space="preserve">Type</t>
  </si>
  <si>
    <t xml:space="preserve">Weight kg</t>
  </si>
  <si>
    <t xml:space="preserve">Handling</t>
  </si>
  <si>
    <t xml:space="preserve">With AND</t>
  </si>
  <si>
    <t xml:space="preserve">P101</t>
  </si>
  <si>
    <t xml:space="preserve">Northvale</t>
  </si>
  <si>
    <t xml:space="preserve">Fragile</t>
  </si>
  <si>
    <t xml:space="preserve">P102</t>
  </si>
  <si>
    <t xml:space="preserve">Eastbrook</t>
  </si>
  <si>
    <t xml:space="preserve">Standard</t>
  </si>
  <si>
    <t xml:space="preserve">P103</t>
  </si>
  <si>
    <t xml:space="preserve">Pinecrest</t>
  </si>
  <si>
    <t xml:space="preserve">P104</t>
  </si>
  <si>
    <t xml:space="preserve">Lakemont</t>
  </si>
  <si>
    <t xml:space="preserve">P105</t>
  </si>
  <si>
    <t xml:space="preserve">P106</t>
  </si>
  <si>
    <t xml:space="preserve">P107</t>
  </si>
  <si>
    <t xml:space="preserve">P108</t>
  </si>
  <si>
    <t xml:space="preserve">P109</t>
  </si>
  <si>
    <t xml:space="preserve">P110</t>
  </si>
  <si>
    <t xml:space="preserve">P111</t>
  </si>
  <si>
    <t xml:space="preserve">P112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</si>
</sst>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8</v>
      </c>
      <c r="E2" s="0" t="str">
        <f aca="false">IF(OR(C2="Fragile",D2&gt;20),"Special handling","Standard")</f>
        <v>Special handling</v>
      </c>
      <c r="F2" s="0" t="str">
        <f aca="false">IF(AND(C2="Fragile",D2&gt;20),"Special handling","Standard")</f>
        <v>Standard</v>
      </c>
      <c r="H2" s="0" t="n">
        <f aca="false">COUNTIF(E2:E13,"Special handling")</f>
        <v>7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12</v>
      </c>
      <c r="E3" s="0" t="str">
        <f aca="false">IF(OR(C3="Fragile",D3&gt;20),"Special handling","Standard")</f>
        <v>Standard</v>
      </c>
      <c r="F3" s="0" t="str">
        <f aca="false">IF(AND(C3="Fragile",D3&gt;20),"Special handling","Standard")</f>
        <v>Standard</v>
      </c>
      <c r="H3" s="0" t="n">
        <f aca="false">COUNTIF(E2:E13,"Standard")</f>
        <v>5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11</v>
      </c>
      <c r="D4" s="0" t="n">
        <v>26</v>
      </c>
      <c r="E4" s="0" t="str">
        <f aca="false">IF(OR(C4="Fragile",D4&gt;20),"Special handling","Standard")</f>
        <v>Special handling</v>
      </c>
      <c r="F4" s="0" t="str">
        <f aca="false">IF(AND(C4="Fragile",D4&gt;20),"Special handling","Standard")</f>
        <v>Standard</v>
      </c>
      <c r="H4" s="0" t="n">
        <f aca="false">COUNTIF(F2:F13,"Special handling")</f>
        <v>2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8</v>
      </c>
      <c r="D5" s="0" t="n">
        <v>24</v>
      </c>
      <c r="E5" s="0" t="str">
        <f aca="false">IF(OR(C5="Fragile",D5&gt;20),"Special handling","Standard")</f>
        <v>Special handling</v>
      </c>
      <c r="F5" s="0" t="str">
        <f aca="false">IF(AND(C5="Fragile",D5&gt;20),"Special handling","Standard")</f>
        <v>Special handling</v>
      </c>
      <c r="H5" s="0" t="n">
        <f aca="false">H2-H4</f>
        <v>5</v>
      </c>
    </row>
    <row r="6" customFormat="false" ht="15" hidden="false" customHeight="false" outlineLevel="0" collapsed="false">
      <c r="A6" s="0" t="s">
        <v>16</v>
      </c>
      <c r="B6" s="0" t="s">
        <v>7</v>
      </c>
      <c r="C6" s="0" t="s">
        <v>11</v>
      </c>
      <c r="D6" s="0" t="n">
        <v>5</v>
      </c>
      <c r="E6" s="0" t="str">
        <f aca="false">IF(OR(C6="Fragile",D6&gt;20),"Special handling","Standard")</f>
        <v>Standard</v>
      </c>
      <c r="F6" s="0" t="str">
        <f aca="false">IF(AND(C6="Fragile",D6&gt;20),"Special handling","Standard")</f>
        <v>Standard</v>
      </c>
    </row>
    <row r="7" customFormat="false" ht="15" hidden="false" customHeight="false" outlineLevel="0" collapsed="false">
      <c r="A7" s="0" t="s">
        <v>17</v>
      </c>
      <c r="B7" s="0" t="s">
        <v>10</v>
      </c>
      <c r="C7" s="0" t="s">
        <v>8</v>
      </c>
      <c r="D7" s="0" t="n">
        <v>15</v>
      </c>
      <c r="E7" s="0" t="str">
        <f aca="false">IF(OR(C7="Fragile",D7&gt;20),"Special handling","Standard")</f>
        <v>Special handling</v>
      </c>
      <c r="F7" s="0" t="str">
        <f aca="false">IF(AND(C7="Fragile",D7&gt;20),"Special handling","Standard")</f>
        <v>Standard</v>
      </c>
    </row>
    <row r="8" customFormat="false" ht="15" hidden="false" customHeight="false" outlineLevel="0" collapsed="false">
      <c r="A8" s="0" t="s">
        <v>18</v>
      </c>
      <c r="B8" s="0" t="s">
        <v>15</v>
      </c>
      <c r="C8" s="0" t="s">
        <v>11</v>
      </c>
      <c r="D8" s="0" t="n">
        <v>31</v>
      </c>
      <c r="E8" s="0" t="str">
        <f aca="false">IF(OR(C8="Fragile",D8&gt;20),"Special handling","Standard")</f>
        <v>Special handling</v>
      </c>
      <c r="F8" s="0" t="str">
        <f aca="false">IF(AND(C8="Fragile",D8&gt;20),"Special handling","Standard")</f>
        <v>Standard</v>
      </c>
    </row>
    <row r="9" customFormat="false" ht="15" hidden="false" customHeight="false" outlineLevel="0" collapsed="false">
      <c r="A9" s="0" t="s">
        <v>19</v>
      </c>
      <c r="B9" s="0" t="s">
        <v>13</v>
      </c>
      <c r="C9" s="0" t="s">
        <v>11</v>
      </c>
      <c r="D9" s="0" t="n">
        <v>18</v>
      </c>
      <c r="E9" s="0" t="str">
        <f aca="false">IF(OR(C9="Fragile",D9&gt;20),"Special handling","Standard")</f>
        <v>Standard</v>
      </c>
      <c r="F9" s="0" t="str">
        <f aca="false">IF(AND(C9="Fragile",D9&gt;20),"Special handling","Standard")</f>
        <v>Standard</v>
      </c>
    </row>
    <row r="10" customFormat="false" ht="15" hidden="false" customHeight="false" outlineLevel="0" collapsed="false">
      <c r="A10" s="0" t="s">
        <v>20</v>
      </c>
      <c r="B10" s="0" t="s">
        <v>7</v>
      </c>
      <c r="C10" s="0" t="s">
        <v>8</v>
      </c>
      <c r="D10" s="0" t="n">
        <v>22</v>
      </c>
      <c r="E10" s="0" t="str">
        <f aca="false">IF(OR(C10="Fragile",D10&gt;20),"Special handling","Standard")</f>
        <v>Special handling</v>
      </c>
      <c r="F10" s="0" t="str">
        <f aca="false">IF(AND(C10="Fragile",D10&gt;20),"Special handling","Standard")</f>
        <v>Special handling</v>
      </c>
    </row>
    <row r="11" customFormat="false" ht="15" hidden="false" customHeight="false" outlineLevel="0" collapsed="false">
      <c r="A11" s="0" t="s">
        <v>21</v>
      </c>
      <c r="B11" s="0" t="s">
        <v>10</v>
      </c>
      <c r="C11" s="0" t="s">
        <v>11</v>
      </c>
      <c r="D11" s="0" t="n">
        <v>20</v>
      </c>
      <c r="E11" s="0" t="str">
        <f aca="false">IF(OR(C11="Fragile",D11&gt;20),"Special handling","Standard")</f>
        <v>Standard</v>
      </c>
      <c r="F11" s="0" t="str">
        <f aca="false">IF(AND(C11="Fragile",D11&gt;20),"Special handling","Standard")</f>
        <v>Standard</v>
      </c>
    </row>
    <row r="12" customFormat="false" ht="15" hidden="false" customHeight="false" outlineLevel="0" collapsed="false">
      <c r="A12" s="0" t="s">
        <v>22</v>
      </c>
      <c r="B12" s="0" t="s">
        <v>15</v>
      </c>
      <c r="C12" s="0" t="s">
        <v>11</v>
      </c>
      <c r="D12" s="0" t="n">
        <v>9</v>
      </c>
      <c r="E12" s="0" t="str">
        <f aca="false">IF(OR(C12="Fragile",D12&gt;20),"Special handling","Standard")</f>
        <v>Standard</v>
      </c>
      <c r="F12" s="0" t="str">
        <f aca="false">IF(AND(C12="Fragile",D12&gt;20),"Special handling","Standard")</f>
        <v>Standard</v>
      </c>
    </row>
    <row r="13" customFormat="false" ht="15" hidden="false" customHeight="false" outlineLevel="0" collapsed="false">
      <c r="A13" s="0" t="s">
        <v>23</v>
      </c>
      <c r="B13" s="0" t="s">
        <v>13</v>
      </c>
      <c r="C13" s="0" t="s">
        <v>8</v>
      </c>
      <c r="D13" s="0" t="n">
        <v>11</v>
      </c>
      <c r="E13" s="0" t="str">
        <f aca="false">IF(OR(C13="Fragile",D13&gt;20),"Special handling","Standard")</f>
        <v>Special handling</v>
      </c>
      <c r="F13" s="0" t="str">
        <f aca="false">IF(AND(C13="Fragile",D13&gt;20),"Special handling","Standard")</f>
        <v>Standard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2026-10-14T11:11:55Z</dcterms:created>
  <dc:creator>openpyxl</dc:creator>
  <dc:description/>
  <dc:language>en-AE</dc:language>
  <cp:lastModifiedBy/>
  <dcterms:modified xsi:type="dcterms:W3CDTF">2026-10-14T11:11:55Z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