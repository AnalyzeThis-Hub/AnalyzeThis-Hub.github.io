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mpaig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<sst xmlns="http://schemas.openxmlformats.org/spreadsheetml/2006/main" count="29" uniqueCount="23">
  <si>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Campaign</t>
  </si>
  <si>
    <t xml:space="preserve">Channel</t>
  </si>
  <si>
    <t xml:space="preserve">Spend</t>
  </si>
  <si>
    <t xml:space="preserve">Leads</t>
  </si>
  <si>
    <t xml:space="preserve">Season</t>
  </si>
  <si>
    <t xml:space="preserve">Summer Sale Email</t>
  </si>
  <si>
    <t xml:space="preserve">Email</t>
  </si>
  <si>
    <t xml:space="preserve">Back to School Ads</t>
  </si>
  <si>
    <t xml:space="preserve">Social</t>
  </si>
  <si>
    <t xml:space="preserve">Early Summer Promo</t>
  </si>
  <si>
    <t xml:space="preserve">Search</t>
  </si>
  <si>
    <t xml:space="preserve">SUMMER Splash Social</t>
  </si>
  <si>
    <t xml:space="preserve">Winter Warmers Email</t>
  </si>
  <si>
    <t xml:space="preserve">Spring Refresh Blog</t>
  </si>
  <si>
    <t xml:space="preserve">Blog</t>
  </si>
  <si>
    <t xml:space="preserve">Summertime Deals</t>
  </si>
  <si>
    <t xml:space="preserve">Display</t>
  </si>
  <si>
    <t xml:space="preserve">Black Friday Teaser</t>
  </si>
  <si>
    <t xml:space="preserve">Holiday Gift Guide</t>
  </si>
  <si>
    <t xml:space="preserve">Mid-Summer Webinar</t>
  </si>
  <si>
    <t xml:space="preserve">Webinar</t>
  </si>
  <si>
    <t xml:space="preserve">Autumn Launch Ads</t>
  </si>
  <si>
    <t xml:space="preserve">Free Shipping Week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</si>
</sst>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4" min="2" style="0" width="11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2" t="n">
        <v>1200</v>
      </c>
      <c r="D2" s="0" t="n">
        <v>340</v>
      </c>
      <c r="E2" s="0" t="str">
        <f aca="false">IF(ISNUMBER(SEARCH("summer",A2)),"Summer","Other")</f>
        <v>Summer</v>
      </c>
      <c r="G2" s="0" t="n">
        <f aca="false">COUNTIF(E2:E13,"Summer")</f>
        <v>5</v>
      </c>
    </row>
    <row r="3" customFormat="false" ht="15" hidden="false" customHeight="false" outlineLevel="0" collapsed="false">
      <c r="A3" s="0" t="s">
        <v>7</v>
      </c>
      <c r="B3" s="0" t="s">
        <v>8</v>
      </c>
      <c r="C3" s="2" t="n">
        <v>2100</v>
      </c>
      <c r="D3" s="0" t="n">
        <v>410</v>
      </c>
      <c r="E3" s="0" t="str">
        <f aca="false">IF(ISNUMBER(SEARCH("summer",A3)),"Summer","Other")</f>
        <v>Other</v>
      </c>
      <c r="G3" s="0" t="n">
        <f aca="false">COUNTIF(E2:E13,"Other")</f>
        <v>7</v>
      </c>
    </row>
    <row r="4" customFormat="false" ht="15" hidden="false" customHeight="false" outlineLevel="0" collapsed="false">
      <c r="A4" s="0" t="s">
        <v>9</v>
      </c>
      <c r="B4" s="0" t="s">
        <v>10</v>
      </c>
      <c r="C4" s="2" t="n">
        <v>1800</v>
      </c>
      <c r="D4" s="0" t="n">
        <v>520</v>
      </c>
      <c r="E4" s="0" t="str">
        <f aca="false">IF(ISNUMBER(SEARCH("summer",A4)),"Summer","Other")</f>
        <v>Summer</v>
      </c>
      <c r="G4" s="0" t="n">
        <f aca="false">SUMIF(E2:E13,"Summer",D2:D13)</f>
        <v>2030</v>
      </c>
    </row>
    <row r="5" customFormat="false" ht="15" hidden="false" customHeight="false" outlineLevel="0" collapsed="false">
      <c r="A5" s="0" t="s">
        <v>11</v>
      </c>
      <c r="B5" s="0" t="s">
        <v>8</v>
      </c>
      <c r="C5" s="2" t="n">
        <v>1500</v>
      </c>
      <c r="D5" s="0" t="n">
        <v>390</v>
      </c>
      <c r="E5" s="0" t="str">
        <f aca="false">IF(ISNUMBER(SEARCH("summer",A5)),"Summer","Other")</f>
        <v>Summer</v>
      </c>
      <c r="G5" s="0" t="n">
        <f aca="false">SEARCH("summer",A4)</f>
        <v>7</v>
      </c>
    </row>
    <row r="6" customFormat="false" ht="15" hidden="false" customHeight="false" outlineLevel="0" collapsed="false">
      <c r="A6" s="0" t="s">
        <v>12</v>
      </c>
      <c r="B6" s="0" t="s">
        <v>6</v>
      </c>
      <c r="C6" s="2" t="n">
        <v>900</v>
      </c>
      <c r="D6" s="0" t="n">
        <v>210</v>
      </c>
      <c r="E6" s="0" t="str">
        <f aca="false">IF(ISNUMBER(SEARCH("summer",A6)),"Summer","Other")</f>
        <v>Other</v>
      </c>
    </row>
    <row r="7" customFormat="false" ht="15" hidden="false" customHeight="false" outlineLevel="0" collapsed="false">
      <c r="A7" s="0" t="s">
        <v>13</v>
      </c>
      <c r="B7" s="0" t="s">
        <v>14</v>
      </c>
      <c r="C7" s="2" t="n">
        <v>600</v>
      </c>
      <c r="D7" s="0" t="n">
        <v>150</v>
      </c>
      <c r="E7" s="0" t="str">
        <f aca="false">IF(ISNUMBER(SEARCH("summer",A7)),"Summer","Other")</f>
        <v>Other</v>
      </c>
    </row>
    <row r="8" customFormat="false" ht="15" hidden="false" customHeight="false" outlineLevel="0" collapsed="false">
      <c r="A8" s="0" t="s">
        <v>15</v>
      </c>
      <c r="B8" s="0" t="s">
        <v>16</v>
      </c>
      <c r="C8" s="2" t="n">
        <v>2400</v>
      </c>
      <c r="D8" s="0" t="n">
        <v>480</v>
      </c>
      <c r="E8" s="0" t="str">
        <f aca="false">IF(ISNUMBER(SEARCH("summer",A8)),"Summer","Other")</f>
        <v>Summer</v>
      </c>
    </row>
    <row r="9" customFormat="false" ht="15" hidden="false" customHeight="false" outlineLevel="0" collapsed="false">
      <c r="A9" s="0" t="s">
        <v>17</v>
      </c>
      <c r="B9" s="0" t="s">
        <v>6</v>
      </c>
      <c r="C9" s="2" t="n">
        <v>1000</v>
      </c>
      <c r="D9" s="0" t="n">
        <v>260</v>
      </c>
      <c r="E9" s="0" t="str">
        <f aca="false">IF(ISNUMBER(SEARCH("summer",A9)),"Summer","Other")</f>
        <v>Other</v>
      </c>
    </row>
    <row r="10" customFormat="false" ht="15" hidden="false" customHeight="false" outlineLevel="0" collapsed="false">
      <c r="A10" s="0" t="s">
        <v>18</v>
      </c>
      <c r="B10" s="0" t="s">
        <v>14</v>
      </c>
      <c r="C10" s="2" t="n">
        <v>700</v>
      </c>
      <c r="D10" s="0" t="n">
        <v>190</v>
      </c>
      <c r="E10" s="0" t="str">
        <f aca="false">IF(ISNUMBER(SEARCH("summer",A10)),"Summer","Other")</f>
        <v>Other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2" t="n">
        <v>1300</v>
      </c>
      <c r="D11" s="0" t="n">
        <v>300</v>
      </c>
      <c r="E11" s="0" t="str">
        <f aca="false">IF(ISNUMBER(SEARCH("summer",A11)),"Summer","Other")</f>
        <v>Summer</v>
      </c>
    </row>
    <row r="12" customFormat="false" ht="15" hidden="false" customHeight="false" outlineLevel="0" collapsed="false">
      <c r="A12" s="0" t="s">
        <v>21</v>
      </c>
      <c r="B12" s="0" t="s">
        <v>10</v>
      </c>
      <c r="C12" s="2" t="n">
        <v>1700</v>
      </c>
      <c r="D12" s="0" t="n">
        <v>370</v>
      </c>
      <c r="E12" s="0" t="str">
        <f aca="false">IF(ISNUMBER(SEARCH("summer",A12)),"Summer","Other")</f>
        <v>Other</v>
      </c>
    </row>
    <row r="13" customFormat="false" ht="15" hidden="false" customHeight="false" outlineLevel="0" collapsed="false">
      <c r="A13" s="0" t="s">
        <v>22</v>
      </c>
      <c r="B13" s="0" t="s">
        <v>16</v>
      </c>
      <c r="C13" s="2" t="n">
        <v>1100</v>
      </c>
      <c r="D13" s="0" t="n">
        <v>230</v>
      </c>
      <c r="E13" s="0" t="str">
        <f aca="false">IF(ISNUMBER(SEARCH("summer",A13)),"Summer","Other")</f>
        <v>Other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2026-10-21T08:42:33Z</dcterms:created>
  <dc:creator>openpyxl</dc:creator>
  <dc:description/>
  <dc:language>en-AE</dc:language>
  <cp:lastModifiedBy/>
  <dcterms:modified xsi:type="dcterms:W3CDTF">2026-10-21T08:42:33Z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