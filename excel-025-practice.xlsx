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r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<sst xmlns="http://schemas.openxmlformats.org/spreadsheetml/2006/main" count="33" uniqueCount="18">
  <si>
    <t xml:space="preserve">Rep</t>
  </si>
  <si>
    <t xml:space="preserve">Model</t>
  </si>
  <si>
    <t xml:space="preserve">Sales</t>
  </si>
  <si>
    <t xml:space="preserve">Rate</t>
  </si>
  <si>
    <t xml:space="preserve">Commission</t>
  </si>
  <si>
    <t xml:space="preserve">Amira</t>
  </si>
  <si>
    <t xml:space="preserve">SUV</t>
  </si>
  <si>
    <t xml:space="preserve">Karim</t>
  </si>
  <si>
    <t xml:space="preserve">Sedan</t>
  </si>
  <si>
    <t xml:space="preserve">Lina</t>
  </si>
  <si>
    <t xml:space="preserve">Truck</t>
  </si>
  <si>
    <t xml:space="preserve">Omar</t>
  </si>
  <si>
    <t xml:space="preserve">Hatchback</t>
  </si>
  <si>
    <t xml:space="preserve">Noor</t>
  </si>
  <si>
    <t xml:space="preserve">Dina</t>
  </si>
  <si>
    <t xml:space="preserve">Coupe</t>
  </si>
  <si>
    <t xml:space="preserve">Youssef</t>
  </si>
  <si>
    <t xml:space="preserve">Salma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</si>
</sst>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2" t="n">
        <v>42500</v>
      </c>
      <c r="D2" s="0" t="n">
        <f aca="false">IF(C2&gt;=40000,0.06,IF(C2&gt;=25000,0.04,0.02))</f>
        <v>0.06</v>
      </c>
      <c r="E2" s="0" t="n">
        <f aca="false">ROUND(C2*D2,2)</f>
        <v>2550</v>
      </c>
      <c r="G2" s="0" t="n">
        <f aca="false">40000</f>
        <v>40000</v>
      </c>
    </row>
    <row r="3" customFormat="false" ht="15" hidden="false" customHeight="false" outlineLevel="0" collapsed="false">
      <c r="A3" s="0" t="s">
        <v>7</v>
      </c>
      <c r="B3" s="0" t="s">
        <v>8</v>
      </c>
      <c r="C3" s="2" t="n">
        <v>18900</v>
      </c>
      <c r="D3" s="0" t="n">
        <f aca="false">IF(C3&gt;=40000,0.06,IF(C3&gt;=25000,0.04,0.02))</f>
        <v>0.02</v>
      </c>
      <c r="E3" s="0" t="n">
        <f aca="false">ROUND(C3*D3,2)</f>
        <v>378</v>
      </c>
      <c r="G3" s="0" t="n">
        <f aca="false">25000</f>
        <v>25000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n">
        <v>31200</v>
      </c>
      <c r="D4" s="0" t="n">
        <f aca="false">IF(C4&gt;=40000,0.06,IF(C4&gt;=25000,0.04,0.02))</f>
        <v>0.04</v>
      </c>
      <c r="E4" s="0" t="n">
        <f aca="false">ROUND(C4*D4,2)</f>
        <v>1248</v>
      </c>
      <c r="G4" s="0" t="n">
        <f aca="false">0.02</f>
        <v>0.02</v>
      </c>
    </row>
    <row r="5" customFormat="false" ht="15" hidden="false" customHeight="false" outlineLevel="0" collapsed="false">
      <c r="A5" s="0" t="s">
        <v>11</v>
      </c>
      <c r="B5" s="0" t="s">
        <v>12</v>
      </c>
      <c r="C5" s="2" t="n">
        <v>14500</v>
      </c>
      <c r="D5" s="0" t="n">
        <f aca="false">IF(C5&gt;=40000,0.06,IF(C5&gt;=25000,0.04,0.02))</f>
        <v>0.02</v>
      </c>
      <c r="E5" s="0" t="n">
        <f aca="false">ROUND(C5*D5,2)</f>
        <v>290</v>
      </c>
      <c r="G5" s="0" t="n">
        <f aca="false">0.04</f>
        <v>0.04</v>
      </c>
    </row>
    <row r="6" customFormat="false" ht="15" hidden="false" customHeight="false" outlineLevel="0" collapsed="false">
      <c r="A6" s="0" t="s">
        <v>13</v>
      </c>
      <c r="B6" s="0" t="s">
        <v>6</v>
      </c>
      <c r="C6" s="2" t="n">
        <v>57800</v>
      </c>
      <c r="D6" s="0" t="n">
        <f aca="false">IF(C6&gt;=40000,0.06,IF(C6&gt;=25000,0.04,0.02))</f>
        <v>0.06</v>
      </c>
      <c r="E6" s="0" t="n">
        <f aca="false">ROUND(C6*D6,2)</f>
        <v>3468</v>
      </c>
      <c r="G6" s="0" t="n">
        <f aca="false">0.06</f>
        <v>0.06</v>
      </c>
    </row>
    <row r="7" customFormat="false" ht="15" hidden="false" customHeight="false" outlineLevel="0" collapsed="false">
      <c r="A7" s="0" t="s">
        <v>14</v>
      </c>
      <c r="B7" s="0" t="s">
        <v>15</v>
      </c>
      <c r="C7" s="2" t="n">
        <v>26400</v>
      </c>
      <c r="D7" s="0" t="n">
        <f aca="false">IF(C7&gt;=40000,0.06,IF(C7&gt;=25000,0.04,0.02))</f>
        <v>0.04</v>
      </c>
      <c r="E7" s="0" t="n">
        <f aca="false">ROUND(C7*D7,2)</f>
        <v>1056</v>
      </c>
      <c r="G7" s="2" t="n">
        <f aca="false">C2</f>
        <v>42500</v>
      </c>
    </row>
    <row r="8" customFormat="false" ht="15" hidden="false" customHeight="false" outlineLevel="0" collapsed="false">
      <c r="A8" s="0" t="s">
        <v>16</v>
      </c>
      <c r="B8" s="0" t="s">
        <v>8</v>
      </c>
      <c r="C8" s="2" t="n">
        <v>21000</v>
      </c>
      <c r="D8" s="0" t="n">
        <f aca="false">IF(C8&gt;=40000,0.06,IF(C8&gt;=25000,0.04,0.02))</f>
        <v>0.02</v>
      </c>
      <c r="E8" s="0" t="n">
        <f aca="false">ROUND(C8*D8,2)</f>
        <v>420</v>
      </c>
      <c r="G8" s="0" t="n">
        <f aca="false">E2</f>
        <v>2550</v>
      </c>
    </row>
    <row r="9" customFormat="false" ht="15" hidden="false" customHeight="false" outlineLevel="0" collapsed="false">
      <c r="A9" s="0" t="s">
        <v>17</v>
      </c>
      <c r="B9" s="0" t="s">
        <v>10</v>
      </c>
      <c r="C9" s="2" t="n">
        <v>40000</v>
      </c>
      <c r="D9" s="0" t="n">
        <f aca="false">IF(C9&gt;=40000,0.06,IF(C9&gt;=25000,0.04,0.02))</f>
        <v>0.06</v>
      </c>
      <c r="E9" s="0" t="n">
        <f aca="false">ROUND(C9*D9,2)</f>
        <v>2400</v>
      </c>
      <c r="G9" s="0" t="n">
        <f aca="false">SUM(E2:E15)</f>
        <v>21162</v>
      </c>
    </row>
    <row r="10" customFormat="false" ht="15" hidden="false" customHeight="false" outlineLevel="0" collapsed="false">
      <c r="A10" s="0" t="s">
        <v>5</v>
      </c>
      <c r="B10" s="0" t="s">
        <v>12</v>
      </c>
      <c r="C10" s="2" t="n">
        <v>16800</v>
      </c>
      <c r="D10" s="0" t="n">
        <f aca="false">IF(C10&gt;=40000,0.06,IF(C10&gt;=25000,0.04,0.02))</f>
        <v>0.02</v>
      </c>
      <c r="E10" s="0" t="n">
        <f aca="false">ROUND(C10*D10,2)</f>
        <v>336</v>
      </c>
      <c r="G10" s="0" t="n">
        <f aca="false">ROUND(SUM(C2:C15)*0.02,2)</f>
        <v>9174</v>
      </c>
    </row>
    <row r="11" customFormat="false" ht="15" hidden="false" customHeight="false" outlineLevel="0" collapsed="false">
      <c r="A11" s="0" t="s">
        <v>7</v>
      </c>
      <c r="B11" s="0" t="s">
        <v>6</v>
      </c>
      <c r="C11" s="2" t="n">
        <v>38700</v>
      </c>
      <c r="D11" s="0" t="n">
        <f aca="false">IF(C11&gt;=40000,0.06,IF(C11&gt;=25000,0.04,0.02))</f>
        <v>0.04</v>
      </c>
      <c r="E11" s="0" t="n">
        <f aca="false">ROUND(C11*D11,2)</f>
        <v>1548</v>
      </c>
      <c r="G11" s="0" t="n">
        <f aca="false">COUNTIF(C2:C15,"&gt;=40000")</f>
        <v>5</v>
      </c>
    </row>
    <row r="12" customFormat="false" ht="15" hidden="false" customHeight="false" outlineLevel="0" collapsed="false">
      <c r="A12" s="0" t="s">
        <v>9</v>
      </c>
      <c r="B12" s="0" t="s">
        <v>8</v>
      </c>
      <c r="C12" s="2" t="n">
        <v>24900</v>
      </c>
      <c r="D12" s="0" t="n">
        <f aca="false">IF(C12&gt;=40000,0.06,IF(C12&gt;=25000,0.04,0.02))</f>
        <v>0.02</v>
      </c>
      <c r="E12" s="0" t="n">
        <f aca="false">ROUND(C12*D12,2)</f>
        <v>498</v>
      </c>
    </row>
    <row r="13" customFormat="false" ht="15" hidden="false" customHeight="false" outlineLevel="0" collapsed="false">
      <c r="A13" s="0" t="s">
        <v>11</v>
      </c>
      <c r="B13" s="0" t="s">
        <v>10</v>
      </c>
      <c r="C13" s="2" t="n">
        <v>45200</v>
      </c>
      <c r="D13" s="0" t="n">
        <f aca="false">IF(C13&gt;=40000,0.06,IF(C13&gt;=25000,0.04,0.02))</f>
        <v>0.06</v>
      </c>
      <c r="E13" s="0" t="n">
        <f aca="false">ROUND(C13*D13,2)</f>
        <v>2712</v>
      </c>
    </row>
    <row r="14" customFormat="false" ht="15" hidden="false" customHeight="false" outlineLevel="0" collapsed="false">
      <c r="A14" s="0" t="s">
        <v>13</v>
      </c>
      <c r="B14" s="0" t="s">
        <v>15</v>
      </c>
      <c r="C14" s="2" t="n">
        <v>29500</v>
      </c>
      <c r="D14" s="0" t="n">
        <f aca="false">IF(C14&gt;=40000,0.06,IF(C14&gt;=25000,0.04,0.02))</f>
        <v>0.04</v>
      </c>
      <c r="E14" s="0" t="n">
        <f aca="false">ROUND(C14*D14,2)</f>
        <v>1180</v>
      </c>
    </row>
    <row r="15" customFormat="false" ht="15" hidden="false" customHeight="false" outlineLevel="0" collapsed="false">
      <c r="A15" s="0" t="s">
        <v>14</v>
      </c>
      <c r="B15" s="0" t="s">
        <v>6</v>
      </c>
      <c r="C15" s="2" t="n">
        <v>51300</v>
      </c>
      <c r="D15" s="0" t="n">
        <f aca="false">IF(C15&gt;=40000,0.06,IF(C15&gt;=25000,0.04,0.02))</f>
        <v>0.06</v>
      </c>
      <c r="E15" s="0" t="n">
        <f aca="false">ROUND(C15*D15,2)</f>
        <v>3078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2026-10-25T08:18:52Z</dcterms:created>
  <dc:creator>openpyxl</dc:creator>
  <dc:description/>
  <dc:language>en-AE</dc:language>
  <cp:lastModifiedBy/>
  <dcterms:modified xsi:type="dcterms:W3CDTF">2026-10-25T08:18:52Z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