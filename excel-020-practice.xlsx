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i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<sst xmlns="http://schemas.openxmlformats.org/spreadsheetml/2006/main" count="16" uniqueCount="16">
  <si>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Session</t>
  </si>
  <si>
    <t xml:space="preserve">Minutes</t>
  </si>
  <si>
    <t xml:space="preserve">Effort</t>
  </si>
  <si>
    <t xml:space="preserve">Load</t>
  </si>
  <si>
    <t xml:space="preserve">Sprint drills</t>
  </si>
  <si>
    <t xml:space="preserve">Strength circuit</t>
  </si>
  <si>
    <t xml:space="preserve">Passing practice</t>
  </si>
  <si>
    <t xml:space="preserve">Endurance run</t>
  </si>
  <si>
    <t xml:space="preserve">Hill repeats</t>
  </si>
  <si>
    <t xml:space="preserve">Core and balance</t>
  </si>
  <si>
    <t xml:space="preserve">Team scrimmage</t>
  </si>
  <si>
    <t xml:space="preserve">Recovery swim</t>
  </si>
  <si>
    <t xml:space="preserve">Tempo run</t>
  </si>
  <si>
    <t xml:space="preserve">Agility ladder</t>
  </si>
  <si>
    <t xml:space="preserve">Shooting drills</t>
  </si>
  <si>
    <t xml:space="preserve">Weekend match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</si>
</sst>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1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45</v>
      </c>
      <c r="C2" s="0" t="n">
        <v>7</v>
      </c>
      <c r="D2" s="0" t="n">
        <f aca="false">IF(B2="","",B2*C2)</f>
        <v>315</v>
      </c>
      <c r="F2" s="0" t="n">
        <f aca="false">SUM(D2:D13)</f>
        <v>2590</v>
      </c>
    </row>
    <row r="3" customFormat="false" ht="15" hidden="false" customHeight="false" outlineLevel="0" collapsed="false">
      <c r="A3" s="0" t="s">
        <v>5</v>
      </c>
      <c r="B3" s="0" t="n">
        <v>60</v>
      </c>
      <c r="C3" s="0" t="n">
        <v>8</v>
      </c>
      <c r="D3" s="0" t="n">
        <f aca="false">IF(B3="","",B3*C3)</f>
        <v>480</v>
      </c>
      <c r="F3" s="0" t="n">
        <f aca="false">COUNT(D2:D13)</f>
        <v>9</v>
      </c>
    </row>
    <row r="4" customFormat="false" ht="15" hidden="false" customHeight="false" outlineLevel="0" collapsed="false">
      <c r="A4" s="0" t="s">
        <v>6</v>
      </c>
      <c r="B4" s="0" t="n">
        <v>40</v>
      </c>
      <c r="C4" s="0" t="n">
        <v>5</v>
      </c>
      <c r="D4" s="0" t="n">
        <f aca="false">IF(B4="","",B4*C4)</f>
        <v>200</v>
      </c>
      <c r="F4" s="0" t="n">
        <f aca="false">COUNTA(A2:A13)-COUNT(D2:D13)</f>
        <v>3</v>
      </c>
    </row>
    <row r="5" customFormat="false" ht="15" hidden="false" customHeight="false" outlineLevel="0" collapsed="false">
      <c r="A5" s="0" t="s">
        <v>7</v>
      </c>
      <c r="B5" s="0" t="n">
        <v>50</v>
      </c>
      <c r="C5" s="0" t="n">
        <v>6</v>
      </c>
      <c r="D5" s="0" t="n">
        <f aca="false">IF(B5="","",B5*C5)</f>
        <v>300</v>
      </c>
    </row>
    <row r="6" customFormat="false" ht="15" hidden="false" customHeight="false" outlineLevel="0" collapsed="false">
      <c r="A6" s="0" t="s">
        <v>8</v>
      </c>
      <c r="B6" s="0" t="n">
        <v>35</v>
      </c>
      <c r="C6" s="0" t="n">
        <v>9</v>
      </c>
      <c r="D6" s="0" t="n">
        <f aca="false">IF(B6="","",B6*C6)</f>
        <v>315</v>
      </c>
    </row>
    <row r="7" customFormat="false" ht="15" hidden="false" customHeight="false" outlineLevel="0" collapsed="false">
      <c r="A7" s="0" t="s">
        <v>9</v>
      </c>
      <c r="B7" s="0" t="n">
        <v>30</v>
      </c>
      <c r="C7" s="0" t="n">
        <v>4</v>
      </c>
      <c r="D7" s="0" t="n">
        <f aca="false">IF(B7="","",B7*C7)</f>
        <v>120</v>
      </c>
    </row>
    <row r="8" customFormat="false" ht="15" hidden="false" customHeight="false" outlineLevel="0" collapsed="false">
      <c r="A8" s="0" t="s">
        <v>10</v>
      </c>
      <c r="B8" s="0" t="n">
        <v>70</v>
      </c>
      <c r="C8" s="0" t="n">
        <v>8</v>
      </c>
      <c r="D8" s="0" t="n">
        <f aca="false">IF(B8="","",B8*C8)</f>
        <v>560</v>
      </c>
    </row>
    <row r="9" customFormat="false" ht="15" hidden="false" customHeight="false" outlineLevel="0" collapsed="false">
      <c r="A9" s="0" t="s">
        <v>11</v>
      </c>
      <c r="B9" s="0" t="n">
        <v>25</v>
      </c>
      <c r="C9" s="0" t="n">
        <v>3</v>
      </c>
      <c r="D9" s="0" t="n">
        <f aca="false">IF(B9="","",B9*C9)</f>
        <v>75</v>
      </c>
    </row>
    <row r="10" customFormat="false" ht="15" hidden="false" customHeight="false" outlineLevel="0" collapsed="false">
      <c r="A10" s="0" t="s">
        <v>12</v>
      </c>
      <c r="C10" s="0" t="n">
        <v>7</v>
      </c>
      <c r="D10" s="0" t="str">
        <f aca="false">IF(B10="","",B10*C10)</f>
        <v/>
      </c>
    </row>
    <row r="11" customFormat="false" ht="15" hidden="false" customHeight="false" outlineLevel="0" collapsed="false">
      <c r="A11" s="0" t="s">
        <v>13</v>
      </c>
      <c r="C11" s="0" t="n">
        <v>6</v>
      </c>
      <c r="D11" s="0" t="str">
        <f aca="false">IF(B11="","",B11*C11)</f>
        <v/>
      </c>
    </row>
    <row r="12" customFormat="false" ht="15" hidden="false" customHeight="false" outlineLevel="0" collapsed="false">
      <c r="A12" s="0" t="s">
        <v>14</v>
      </c>
      <c r="B12" s="0" t="n">
        <v>45</v>
      </c>
      <c r="C12" s="0" t="n">
        <v>5</v>
      </c>
      <c r="D12" s="0" t="n">
        <f aca="false">IF(B12="","",B12*C12)</f>
        <v>225</v>
      </c>
    </row>
    <row r="13" customFormat="false" ht="15" hidden="false" customHeight="false" outlineLevel="0" collapsed="false">
      <c r="A13" s="0" t="s">
        <v>15</v>
      </c>
      <c r="C13" s="0" t="n">
        <v>9</v>
      </c>
      <c r="D13" s="0" t="str">
        <f aca="false">IF(B13="","",B13*C13)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2026-10-19T07:48:10Z</dcterms:created>
  <dc:creator>openpyxl</dc:creator>
  <dc:description/>
  <dc:language>en-AE</dc:language>
  <cp:lastModifiedBy/>
  <dcterms:modified xsi:type="dcterms:W3CDTF">2026-10-19T07:48:10Z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