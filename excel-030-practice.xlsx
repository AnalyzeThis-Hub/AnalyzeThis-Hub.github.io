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rd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<sst xmlns="http://schemas.openxmlformats.org/spreadsheetml/2006/main" count="41" uniqueCount="32">
  <si>
    <t xml:space="preserve">Order SKU</t>
  </si>
  <si>
    <t xml:space="preserve">Qty</t>
  </si>
  <si>
    <t xml:space="preserve">Catalog SKU</t>
  </si>
  <si>
    <t xml:space="preserve">Product</t>
  </si>
  <si>
    <t xml:space="preserve">Lookup Result</t>
  </si>
  <si>
    <t xml:space="preserve">SKU-104</t>
  </si>
  <si>
    <t xml:space="preserve">SKU-101</t>
  </si>
  <si>
    <t xml:space="preserve">Canvas Tote</t>
  </si>
  <si>
    <t xml:space="preserve">SKU-118</t>
  </si>
  <si>
    <t xml:space="preserve">SKU-102</t>
  </si>
  <si>
    <t xml:space="preserve">Steel Bottle</t>
  </si>
  <si>
    <t xml:space="preserve">SKU-103</t>
  </si>
  <si>
    <t xml:space="preserve">Desk Lamp</t>
  </si>
  <si>
    <t xml:space="preserve">SKU-110</t>
  </si>
  <si>
    <t xml:space="preserve">Notebook Set</t>
  </si>
  <si>
    <t xml:space="preserve">SKU-107</t>
  </si>
  <si>
    <t xml:space="preserve">SKU-105</t>
  </si>
  <si>
    <t xml:space="preserve">Phone Stand</t>
  </si>
  <si>
    <t xml:space="preserve">SKU-205</t>
  </si>
  <si>
    <t xml:space="preserve">SKU-106</t>
  </si>
  <si>
    <t xml:space="preserve">Wool Socks</t>
  </si>
  <si>
    <t xml:space="preserve">SKU-112</t>
  </si>
  <si>
    <t xml:space="preserve">Ceramic Mug</t>
  </si>
  <si>
    <t xml:space="preserve">SKU-108</t>
  </si>
  <si>
    <t xml:space="preserve">Yoga Mat</t>
  </si>
  <si>
    <t xml:space="preserve">SKU-131</t>
  </si>
  <si>
    <t xml:space="preserve">SKU-109</t>
  </si>
  <si>
    <t xml:space="preserve">Plant Pot</t>
  </si>
  <si>
    <t xml:space="preserve">Key Holder</t>
  </si>
  <si>
    <t xml:space="preserve">SKU-111</t>
  </si>
  <si>
    <t xml:space="preserve">Soy Candle</t>
  </si>
  <si>
    <t xml:space="preserve">Wall Clock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</si>
</sst>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n">
        <v>3</v>
      </c>
      <c r="C2" s="0" t="s">
        <v>6</v>
      </c>
      <c r="D2" s="0" t="s">
        <v>7</v>
      </c>
      <c r="E2" s="0" t="str">
        <f aca="false">_xlfn.IFNA(VLOOKUP(A2,$C$2:$D$13,2,FALSE()),"Not in catalog")</f>
        <v>Notebook Set</v>
      </c>
      <c r="G2" s="0" t="n">
        <f aca="false">COUNTIF(E2:E13,"Not in catalog")</f>
        <v>3</v>
      </c>
    </row>
    <row r="3" customFormat="false" ht="15" hidden="false" customHeight="false" outlineLevel="0" collapsed="false">
      <c r="A3" s="0" t="s">
        <v>8</v>
      </c>
      <c r="B3" s="0" t="n">
        <v>2</v>
      </c>
      <c r="C3" s="0" t="s">
        <v>9</v>
      </c>
      <c r="D3" s="0" t="s">
        <v>10</v>
      </c>
      <c r="E3" s="0" t="str">
        <f aca="false">_xlfn.IFNA(VLOOKUP(A3,$C$2:$D$13,2,FALSE()),"Not in catalog")</f>
        <v>Not in catalog</v>
      </c>
      <c r="G3" s="0" t="n">
        <f aca="false">COUNTA(A2:A13)-COUNTIF(E2:E13,"Not in catalog")</f>
        <v>9</v>
      </c>
    </row>
    <row r="4" customFormat="false" ht="15" hidden="false" customHeight="false" outlineLevel="0" collapsed="false">
      <c r="A4" s="0" t="s">
        <v>6</v>
      </c>
      <c r="B4" s="0" t="n">
        <v>5</v>
      </c>
      <c r="C4" s="0" t="s">
        <v>11</v>
      </c>
      <c r="D4" s="0" t="s">
        <v>12</v>
      </c>
      <c r="E4" s="0" t="str">
        <f aca="false">_xlfn.IFNA(VLOOKUP(A4,$C$2:$D$13,2,FALSE()),"Not in catalog")</f>
        <v>Canvas Tote</v>
      </c>
    </row>
    <row r="5" customFormat="false" ht="15" hidden="false" customHeight="false" outlineLevel="0" collapsed="false">
      <c r="A5" s="0" t="s">
        <v>13</v>
      </c>
      <c r="B5" s="0" t="n">
        <v>1</v>
      </c>
      <c r="C5" s="0" t="s">
        <v>5</v>
      </c>
      <c r="D5" s="0" t="s">
        <v>14</v>
      </c>
      <c r="E5" s="0" t="str">
        <f aca="false">_xlfn.IFNA(VLOOKUP(A5,$C$2:$D$13,2,FALSE()),"Not in catalog")</f>
        <v>Key Holder</v>
      </c>
    </row>
    <row r="6" customFormat="false" ht="15" hidden="false" customHeight="false" outlineLevel="0" collapsed="false">
      <c r="A6" s="0" t="s">
        <v>15</v>
      </c>
      <c r="B6" s="0" t="n">
        <v>4</v>
      </c>
      <c r="C6" s="0" t="s">
        <v>16</v>
      </c>
      <c r="D6" s="0" t="s">
        <v>17</v>
      </c>
      <c r="E6" s="0" t="str">
        <f aca="false">_xlfn.IFNA(VLOOKUP(A6,$C$2:$D$13,2,FALSE()),"Not in catalog")</f>
        <v>Ceramic Mug</v>
      </c>
    </row>
    <row r="7" customFormat="false" ht="15" hidden="false" customHeight="false" outlineLevel="0" collapsed="false">
      <c r="A7" s="0" t="s">
        <v>18</v>
      </c>
      <c r="B7" s="0" t="n">
        <v>6</v>
      </c>
      <c r="C7" s="0" t="s">
        <v>19</v>
      </c>
      <c r="D7" s="0" t="s">
        <v>20</v>
      </c>
      <c r="E7" s="0" t="str">
        <f aca="false">_xlfn.IFNA(VLOOKUP(A7,$C$2:$D$13,2,FALSE()),"Not in catalog")</f>
        <v>Not in catalog</v>
      </c>
    </row>
    <row r="8" customFormat="false" ht="15" hidden="false" customHeight="false" outlineLevel="0" collapsed="false">
      <c r="A8" s="0" t="s">
        <v>21</v>
      </c>
      <c r="B8" s="0" t="n">
        <v>2</v>
      </c>
      <c r="C8" s="0" t="s">
        <v>15</v>
      </c>
      <c r="D8" s="0" t="s">
        <v>22</v>
      </c>
      <c r="E8" s="0" t="str">
        <f aca="false">_xlfn.IFNA(VLOOKUP(A8,$C$2:$D$13,2,FALSE()),"Not in catalog")</f>
        <v>Wall Clock</v>
      </c>
    </row>
    <row r="9" customFormat="false" ht="15" hidden="false" customHeight="false" outlineLevel="0" collapsed="false">
      <c r="A9" s="0" t="s">
        <v>11</v>
      </c>
      <c r="B9" s="0" t="n">
        <v>7</v>
      </c>
      <c r="C9" s="0" t="s">
        <v>23</v>
      </c>
      <c r="D9" s="0" t="s">
        <v>24</v>
      </c>
      <c r="E9" s="0" t="str">
        <f aca="false">_xlfn.IFNA(VLOOKUP(A9,$C$2:$D$13,2,FALSE()),"Not in catalog")</f>
        <v>Desk Lamp</v>
      </c>
    </row>
    <row r="10" customFormat="false" ht="15" hidden="false" customHeight="false" outlineLevel="0" collapsed="false">
      <c r="A10" s="0" t="s">
        <v>25</v>
      </c>
      <c r="B10" s="0" t="n">
        <v>1</v>
      </c>
      <c r="C10" s="0" t="s">
        <v>26</v>
      </c>
      <c r="D10" s="0" t="s">
        <v>27</v>
      </c>
      <c r="E10" s="0" t="str">
        <f aca="false">_xlfn.IFNA(VLOOKUP(A10,$C$2:$D$13,2,FALSE()),"Not in catalog")</f>
        <v>Not in catalog</v>
      </c>
    </row>
    <row r="11" customFormat="false" ht="15" hidden="false" customHeight="false" outlineLevel="0" collapsed="false">
      <c r="A11" s="0" t="s">
        <v>26</v>
      </c>
      <c r="B11" s="0" t="n">
        <v>3</v>
      </c>
      <c r="C11" s="0" t="s">
        <v>13</v>
      </c>
      <c r="D11" s="0" t="s">
        <v>28</v>
      </c>
      <c r="E11" s="0" t="str">
        <f aca="false">_xlfn.IFNA(VLOOKUP(A11,$C$2:$D$13,2,FALSE()),"Not in catalog")</f>
        <v>Plant Pot</v>
      </c>
    </row>
    <row r="12" customFormat="false" ht="15" hidden="false" customHeight="false" outlineLevel="0" collapsed="false">
      <c r="A12" s="0" t="s">
        <v>19</v>
      </c>
      <c r="B12" s="0" t="n">
        <v>2</v>
      </c>
      <c r="C12" s="0" t="s">
        <v>29</v>
      </c>
      <c r="D12" s="0" t="s">
        <v>30</v>
      </c>
      <c r="E12" s="0" t="str">
        <f aca="false">_xlfn.IFNA(VLOOKUP(A12,$C$2:$D$13,2,FALSE()),"Not in catalog")</f>
        <v>Wool Socks</v>
      </c>
    </row>
    <row r="13" customFormat="false" ht="15" hidden="false" customHeight="false" outlineLevel="0" collapsed="false">
      <c r="A13" s="0" t="s">
        <v>9</v>
      </c>
      <c r="B13" s="0" t="n">
        <v>4</v>
      </c>
      <c r="C13" s="0" t="s">
        <v>21</v>
      </c>
      <c r="D13" s="0" t="s">
        <v>31</v>
      </c>
      <c r="E13" s="0" t="str">
        <f aca="false">_xlfn.IFNA(VLOOKUP(A13,$C$2:$D$13,2,FALSE()),"Not in catalog")</f>
        <v>Steel Bottle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2026-10-26T08:31:18Z</dcterms:created>
  <dc:creator>openpyxl</dc:creator>
  <dc:description/>
  <dc:language>en-AE</dc:language>
  <cp:lastModifiedBy/>
  <dcterms:modified xsi:type="dcterms:W3CDTF">2026-10-26T08:31:18Z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