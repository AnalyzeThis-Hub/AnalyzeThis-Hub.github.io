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liveri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<sst xmlns="http://schemas.openxmlformats.org/spreadsheetml/2006/main" count="32" uniqueCount="22">
  <si>
    <t xml:space="preserve">Parcel</t>
  </si>
  <si>
    <t xml:space="preserve">Hub</t>
  </si>
  <si>
    <t xml:space="preserve">Days late</t>
  </si>
  <si>
    <t xml:space="preserve">Status</t>
  </si>
  <si>
    <t xml:space="preserve">P-101</t>
  </si>
  <si>
    <t xml:space="preserve">Northgate</t>
  </si>
  <si>
    <t xml:space="preserve">P-102</t>
  </si>
  <si>
    <t xml:space="preserve">Riverton</t>
  </si>
  <si>
    <t xml:space="preserve">P-103</t>
  </si>
  <si>
    <t xml:space="preserve">Eastvale</t>
  </si>
  <si>
    <t xml:space="preserve">P-104</t>
  </si>
  <si>
    <t xml:space="preserve">Southport</t>
  </si>
  <si>
    <t xml:space="preserve">P-105</t>
  </si>
  <si>
    <t xml:space="preserve">P-106</t>
  </si>
  <si>
    <t xml:space="preserve">P-107</t>
  </si>
  <si>
    <t xml:space="preserve">P-108</t>
  </si>
  <si>
    <t xml:space="preserve">P-109</t>
  </si>
  <si>
    <t xml:space="preserve">P-110</t>
  </si>
  <si>
    <t xml:space="preserve">P-111</t>
  </si>
  <si>
    <t xml:space="preserve">P-112</t>
  </si>
  <si>
    <t xml:space="preserve">P-113</t>
  </si>
  <si>
    <t xml:space="preserve">P-114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</si>
</sst>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2"/>
    <col collapsed="false" customWidth="true" hidden="false" outlineLevel="0" max="4" min="4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n">
        <v>0</v>
      </c>
      <c r="D2" s="0" t="str">
        <f aca="false">_xlfn.IFS(C2=0,"On time",AND(C2&gt;=1,C2&lt;=2),"Slight delay",AND(C2&gt;=3,C2&lt;=7),"Late",TRUE(),"Check")</f>
        <v>On time</v>
      </c>
      <c r="F2" s="0" t="n">
        <f aca="false">COUNTIF(D2:D15,"On time")</f>
        <v>5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n">
        <v>1</v>
      </c>
      <c r="D3" s="0" t="str">
        <f aca="false">_xlfn.IFS(C3=0,"On time",AND(C3&gt;=1,C3&lt;=2),"Slight delay",AND(C3&gt;=3,C3&lt;=7),"Late",TRUE(),"Check")</f>
        <v>Slight delay</v>
      </c>
      <c r="F3" s="0" t="n">
        <f aca="false">COUNTIF(D2:D15,"Slight delay")</f>
        <v>4</v>
      </c>
    </row>
    <row r="4" customFormat="false" ht="15" hidden="false" customHeight="false" outlineLevel="0" collapsed="false">
      <c r="A4" s="0" t="s">
        <v>8</v>
      </c>
      <c r="B4" s="0" t="s">
        <v>9</v>
      </c>
      <c r="C4" s="0" t="n">
        <v>0</v>
      </c>
      <c r="D4" s="0" t="str">
        <f aca="false">_xlfn.IFS(C4=0,"On time",AND(C4&gt;=1,C4&lt;=2),"Slight delay",AND(C4&gt;=3,C4&lt;=7),"Late",TRUE(),"Check")</f>
        <v>On time</v>
      </c>
      <c r="F4" s="0" t="n">
        <f aca="false">COUNTIF(D2:D15,"Late")</f>
        <v>3</v>
      </c>
    </row>
    <row r="5" customFormat="false" ht="15" hidden="false" customHeight="false" outlineLevel="0" collapsed="false">
      <c r="A5" s="0" t="s">
        <v>10</v>
      </c>
      <c r="B5" s="0" t="s">
        <v>11</v>
      </c>
      <c r="C5" s="0" t="n">
        <v>4</v>
      </c>
      <c r="D5" s="0" t="str">
        <f aca="false">_xlfn.IFS(C5=0,"On time",AND(C5&gt;=1,C5&lt;=2),"Slight delay",AND(C5&gt;=3,C5&lt;=7),"Late",TRUE(),"Check")</f>
        <v>Late</v>
      </c>
      <c r="F5" s="0" t="n">
        <f aca="false">COUNTIF(D2:D15,"Check")</f>
        <v>2</v>
      </c>
    </row>
    <row r="6" customFormat="false" ht="15" hidden="false" customHeight="false" outlineLevel="0" collapsed="false">
      <c r="A6" s="0" t="s">
        <v>12</v>
      </c>
      <c r="B6" s="0" t="s">
        <v>5</v>
      </c>
      <c r="C6" s="0" t="n">
        <v>2</v>
      </c>
      <c r="D6" s="0" t="str">
        <f aca="false">_xlfn.IFS(C6=0,"On time",AND(C6&gt;=1,C6&lt;=2),"Slight delay",AND(C6&gt;=3,C6&lt;=7),"Late",TRUE(),"Check")</f>
        <v>Slight delay</v>
      </c>
      <c r="F6" s="0" t="str">
        <f aca="false">_xlfn.IFS(TRUE(),"Check",C2=0,"On time",AND(C2&gt;=1,C2&lt;=2),"Slight delay",AND(C2&gt;=3,C2&lt;=7),"Late")</f>
        <v>Check</v>
      </c>
    </row>
    <row r="7" customFormat="false" ht="15" hidden="false" customHeight="false" outlineLevel="0" collapsed="false">
      <c r="A7" s="0" t="s">
        <v>13</v>
      </c>
      <c r="B7" s="0" t="s">
        <v>7</v>
      </c>
      <c r="C7" s="0" t="n">
        <v>0</v>
      </c>
      <c r="D7" s="0" t="str">
        <f aca="false">_xlfn.IFS(C7=0,"On time",AND(C7&gt;=1,C7&lt;=2),"Slight delay",AND(C7&gt;=3,C7&lt;=7),"Late",TRUE(),"Check")</f>
        <v>On time</v>
      </c>
    </row>
    <row r="8" customFormat="false" ht="15" hidden="false" customHeight="false" outlineLevel="0" collapsed="false">
      <c r="A8" s="0" t="s">
        <v>14</v>
      </c>
      <c r="B8" s="0" t="s">
        <v>9</v>
      </c>
      <c r="C8" s="0" t="n">
        <v>12</v>
      </c>
      <c r="D8" s="0" t="str">
        <f aca="false">_xlfn.IFS(C8=0,"On time",AND(C8&gt;=1,C8&lt;=2),"Slight delay",AND(C8&gt;=3,C8&lt;=7),"Late",TRUE(),"Check")</f>
        <v>Check</v>
      </c>
    </row>
    <row r="9" customFormat="false" ht="15" hidden="false" customHeight="false" outlineLevel="0" collapsed="false">
      <c r="A9" s="0" t="s">
        <v>15</v>
      </c>
      <c r="B9" s="0" t="s">
        <v>11</v>
      </c>
      <c r="C9" s="0" t="n">
        <v>3</v>
      </c>
      <c r="D9" s="0" t="str">
        <f aca="false">_xlfn.IFS(C9=0,"On time",AND(C9&gt;=1,C9&lt;=2),"Slight delay",AND(C9&gt;=3,C9&lt;=7),"Late",TRUE(),"Check")</f>
        <v>Late</v>
      </c>
    </row>
    <row r="10" customFormat="false" ht="15" hidden="false" customHeight="false" outlineLevel="0" collapsed="false">
      <c r="A10" s="0" t="s">
        <v>16</v>
      </c>
      <c r="B10" s="0" t="s">
        <v>5</v>
      </c>
      <c r="C10" s="0" t="n">
        <v>-1</v>
      </c>
      <c r="D10" s="0" t="str">
        <f aca="false">_xlfn.IFS(C10=0,"On time",AND(C10&gt;=1,C10&lt;=2),"Slight delay",AND(C10&gt;=3,C10&lt;=7),"Late",TRUE(),"Check")</f>
        <v>Check</v>
      </c>
    </row>
    <row r="11" customFormat="false" ht="15" hidden="false" customHeight="false" outlineLevel="0" collapsed="false">
      <c r="A11" s="0" t="s">
        <v>17</v>
      </c>
      <c r="B11" s="0" t="s">
        <v>7</v>
      </c>
      <c r="C11" s="0" t="n">
        <v>1</v>
      </c>
      <c r="D11" s="0" t="str">
        <f aca="false">_xlfn.IFS(C11=0,"On time",AND(C11&gt;=1,C11&lt;=2),"Slight delay",AND(C11&gt;=3,C11&lt;=7),"Late",TRUE(),"Check")</f>
        <v>Slight delay</v>
      </c>
    </row>
    <row r="12" customFormat="false" ht="15" hidden="false" customHeight="false" outlineLevel="0" collapsed="false">
      <c r="A12" s="0" t="s">
        <v>18</v>
      </c>
      <c r="B12" s="0" t="s">
        <v>9</v>
      </c>
      <c r="C12" s="0" t="n">
        <v>0</v>
      </c>
      <c r="D12" s="0" t="str">
        <f aca="false">_xlfn.IFS(C12=0,"On time",AND(C12&gt;=1,C12&lt;=2),"Slight delay",AND(C12&gt;=3,C12&lt;=7),"Late",TRUE(),"Check")</f>
        <v>On time</v>
      </c>
    </row>
    <row r="13" customFormat="false" ht="15" hidden="false" customHeight="false" outlineLevel="0" collapsed="false">
      <c r="A13" s="0" t="s">
        <v>19</v>
      </c>
      <c r="B13" s="0" t="s">
        <v>11</v>
      </c>
      <c r="C13" s="0" t="n">
        <v>6</v>
      </c>
      <c r="D13" s="0" t="str">
        <f aca="false">_xlfn.IFS(C13=0,"On time",AND(C13&gt;=1,C13&lt;=2),"Slight delay",AND(C13&gt;=3,C13&lt;=7),"Late",TRUE(),"Check")</f>
        <v>Late</v>
      </c>
    </row>
    <row r="14" customFormat="false" ht="15" hidden="false" customHeight="false" outlineLevel="0" collapsed="false">
      <c r="A14" s="0" t="s">
        <v>20</v>
      </c>
      <c r="B14" s="0" t="s">
        <v>5</v>
      </c>
      <c r="C14" s="0" t="n">
        <v>0</v>
      </c>
      <c r="D14" s="0" t="str">
        <f aca="false">_xlfn.IFS(C14=0,"On time",AND(C14&gt;=1,C14&lt;=2),"Slight delay",AND(C14&gt;=3,C14&lt;=7),"Late",TRUE(),"Check")</f>
        <v>On time</v>
      </c>
    </row>
    <row r="15" customFormat="false" ht="15" hidden="false" customHeight="false" outlineLevel="0" collapsed="false">
      <c r="A15" s="0" t="s">
        <v>21</v>
      </c>
      <c r="B15" s="0" t="s">
        <v>7</v>
      </c>
      <c r="C15" s="0" t="n">
        <v>2</v>
      </c>
      <c r="D15" s="0" t="str">
        <f aca="false">_xlfn.IFS(C15=0,"On time",AND(C15&gt;=1,C15&lt;=2),"Slight delay",AND(C15&gt;=3,C15&lt;=7),"Late",TRUE(),"Check")</f>
        <v>Slight delay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2026-10-25T08:26:23Z</dcterms:created>
  <dc:creator>openpyxl</dc:creator>
  <dc:description/>
  <dc:language>en-AE</dc:language>
  <cp:lastModifiedBy/>
  <dcterms:modified xsi:type="dcterms:W3CDTF">2026-10-25T08:26:23Z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