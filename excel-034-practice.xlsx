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voi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<sst xmlns="http://schemas.openxmlformats.org/spreadsheetml/2006/main" count="47" uniqueCount="35">
  <si>
    <t xml:space="preserve">Invoice</t>
  </si>
  <si>
    <t xml:space="preserve">Customer</t>
  </si>
  <si>
    <t xml:space="preserve">Due Day</t>
  </si>
  <si>
    <t xml:space="preserve">Status</t>
  </si>
  <si>
    <t xml:space="preserve">Flag</t>
  </si>
  <si>
    <t xml:space="preserve">INV-101</t>
  </si>
  <si>
    <t xml:space="preserve">Harbor Cafe</t>
  </si>
  <si>
    <t xml:space="preserve">Paid</t>
  </si>
  <si>
    <t xml:space="preserve">INV-102</t>
  </si>
  <si>
    <t xml:space="preserve">Birch Studio</t>
  </si>
  <si>
    <t xml:space="preserve">Unpaid</t>
  </si>
  <si>
    <t xml:space="preserve">INV-103</t>
  </si>
  <si>
    <t xml:space="preserve">Lumen Print</t>
  </si>
  <si>
    <t xml:space="preserve">INV-104</t>
  </si>
  <si>
    <t xml:space="preserve">Maple Dental</t>
  </si>
  <si>
    <t xml:space="preserve">INV-105</t>
  </si>
  <si>
    <t xml:space="preserve">Orchid Tech</t>
  </si>
  <si>
    <t xml:space="preserve">INV-106</t>
  </si>
  <si>
    <t xml:space="preserve">Pine Bakery</t>
  </si>
  <si>
    <t xml:space="preserve">INV-107</t>
  </si>
  <si>
    <t xml:space="preserve">Cedar Gym</t>
  </si>
  <si>
    <t xml:space="preserve">INV-108</t>
  </si>
  <si>
    <t xml:space="preserve">Willow Books</t>
  </si>
  <si>
    <t xml:space="preserve">INV-109</t>
  </si>
  <si>
    <t xml:space="preserve">Falcon Freight</t>
  </si>
  <si>
    <t xml:space="preserve">INV-110</t>
  </si>
  <si>
    <t xml:space="preserve">Coral Travel</t>
  </si>
  <si>
    <t xml:space="preserve">INV-111</t>
  </si>
  <si>
    <t xml:space="preserve">Summit Legal</t>
  </si>
  <si>
    <t xml:space="preserve">INV-112</t>
  </si>
  <si>
    <t xml:space="preserve">Aster Florist</t>
  </si>
  <si>
    <t xml:space="preserve">INV-113</t>
  </si>
  <si>
    <t xml:space="preserve">Delta Tiles</t>
  </si>
  <si>
    <t xml:space="preserve">INV-114</t>
  </si>
  <si>
    <t xml:space="preserve">River Cafe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</si>
</sst>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7"/>
    <col collapsed="false" customWidth="true" hidden="false" outlineLevel="0" max="4" min="3" style="0" width="11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n">
        <v>4</v>
      </c>
      <c r="D2" s="0" t="s">
        <v>7</v>
      </c>
      <c r="E2" s="0" t="str">
        <f aca="false">IF(AND(C2&lt;$G$2,D2="Unpaid"),"Overdue","OK")</f>
        <v>OK</v>
      </c>
      <c r="G2" s="0" t="n">
        <f aca="false">18</f>
        <v>18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n">
        <v>7</v>
      </c>
      <c r="D3" s="0" t="s">
        <v>10</v>
      </c>
      <c r="E3" s="0" t="str">
        <f aca="false">IF(AND(C3&lt;$G$2,D3="Unpaid"),"Overdue","OK")</f>
        <v>Overdue</v>
      </c>
      <c r="G3" s="0" t="n">
        <f aca="false">COUNTIF(E2:E15,"Overdue")</f>
        <v>5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n">
        <v>12</v>
      </c>
      <c r="D4" s="0" t="s">
        <v>7</v>
      </c>
      <c r="E4" s="0" t="str">
        <f aca="false">IF(AND(C4&lt;$G$2,D4="Unpaid"),"Overdue","OK")</f>
        <v>OK</v>
      </c>
      <c r="G4" s="0" t="n">
        <f aca="false">COUNTIF(E2:E15,"OK")</f>
        <v>9</v>
      </c>
    </row>
    <row r="5" customFormat="false" ht="15" hidden="false" customHeight="false" outlineLevel="0" collapsed="false">
      <c r="A5" s="0" t="s">
        <v>13</v>
      </c>
      <c r="B5" s="0" t="s">
        <v>14</v>
      </c>
      <c r="C5" s="0" t="n">
        <v>15</v>
      </c>
      <c r="D5" s="0" t="s">
        <v>10</v>
      </c>
      <c r="E5" s="0" t="str">
        <f aca="false">IF(AND(C5&lt;$G$2,D5="Unpaid"),"Overdue","OK")</f>
        <v>Overdue</v>
      </c>
      <c r="G5" s="0" t="n">
        <f aca="false">COUNTIF(D2:D15,"Unpaid")</f>
        <v>8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n">
        <v>17</v>
      </c>
      <c r="D6" s="0" t="s">
        <v>10</v>
      </c>
      <c r="E6" s="0" t="str">
        <f aca="false">IF(AND(C6&lt;$G$2,D6="Unpaid"),"Overdue","OK")</f>
        <v>Overdue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18</v>
      </c>
      <c r="D7" s="0" t="s">
        <v>10</v>
      </c>
      <c r="E7" s="0" t="str">
        <f aca="false">IF(AND(C7&lt;$G$2,D7="Unpaid"),"Overdue","OK")</f>
        <v>OK</v>
      </c>
    </row>
    <row r="8" customFormat="false" ht="15" hidden="false" customHeight="false" outlineLevel="0" collapsed="false">
      <c r="A8" s="0" t="s">
        <v>19</v>
      </c>
      <c r="B8" s="0" t="s">
        <v>20</v>
      </c>
      <c r="C8" s="0" t="n">
        <v>21</v>
      </c>
      <c r="D8" s="0" t="s">
        <v>10</v>
      </c>
      <c r="E8" s="0" t="str">
        <f aca="false">IF(AND(C8&lt;$G$2,D8="Unpaid"),"Overdue","OK")</f>
        <v>OK</v>
      </c>
    </row>
    <row r="9" customFormat="false" ht="15" hidden="false" customHeight="false" outlineLevel="0" collapsed="false">
      <c r="A9" s="0" t="s">
        <v>21</v>
      </c>
      <c r="B9" s="0" t="s">
        <v>22</v>
      </c>
      <c r="C9" s="0" t="n">
        <v>9</v>
      </c>
      <c r="D9" s="0" t="s">
        <v>7</v>
      </c>
      <c r="E9" s="0" t="str">
        <f aca="false">IF(AND(C9&lt;$G$2,D9="Unpaid"),"Overdue","OK")</f>
        <v>OK</v>
      </c>
    </row>
    <row r="10" customFormat="false" ht="15" hidden="false" customHeight="false" outlineLevel="0" collapsed="false">
      <c r="A10" s="0" t="s">
        <v>23</v>
      </c>
      <c r="B10" s="0" t="s">
        <v>24</v>
      </c>
      <c r="C10" s="0" t="n">
        <v>22</v>
      </c>
      <c r="D10" s="0" t="s">
        <v>7</v>
      </c>
      <c r="E10" s="0" t="str">
        <f aca="false">IF(AND(C10&lt;$G$2,D10="Unpaid"),"Overdue","OK")</f>
        <v>OK</v>
      </c>
    </row>
    <row r="11" customFormat="false" ht="15" hidden="false" customHeight="false" outlineLevel="0" collapsed="false">
      <c r="A11" s="0" t="s">
        <v>25</v>
      </c>
      <c r="B11" s="0" t="s">
        <v>26</v>
      </c>
      <c r="C11" s="0" t="n">
        <v>14</v>
      </c>
      <c r="D11" s="0" t="s">
        <v>10</v>
      </c>
      <c r="E11" s="0" t="str">
        <f aca="false">IF(AND(C11&lt;$G$2,D11="Unpaid"),"Overdue","OK")</f>
        <v>Overdue</v>
      </c>
    </row>
    <row r="12" customFormat="false" ht="15" hidden="false" customHeight="false" outlineLevel="0" collapsed="false">
      <c r="A12" s="0" t="s">
        <v>27</v>
      </c>
      <c r="B12" s="0" t="s">
        <v>28</v>
      </c>
      <c r="C12" s="0" t="n">
        <v>25</v>
      </c>
      <c r="D12" s="0" t="s">
        <v>10</v>
      </c>
      <c r="E12" s="0" t="str">
        <f aca="false">IF(AND(C12&lt;$G$2,D12="Unpaid"),"Overdue","OK")</f>
        <v>OK</v>
      </c>
    </row>
    <row r="13" customFormat="false" ht="15" hidden="false" customHeight="false" outlineLevel="0" collapsed="false">
      <c r="A13" s="0" t="s">
        <v>29</v>
      </c>
      <c r="B13" s="0" t="s">
        <v>30</v>
      </c>
      <c r="C13" s="0" t="n">
        <v>3</v>
      </c>
      <c r="D13" s="0" t="s">
        <v>10</v>
      </c>
      <c r="E13" s="0" t="str">
        <f aca="false">IF(AND(C13&lt;$G$2,D13="Unpaid"),"Overdue","OK")</f>
        <v>Overdue</v>
      </c>
    </row>
    <row r="14" customFormat="false" ht="15" hidden="false" customHeight="false" outlineLevel="0" collapsed="false">
      <c r="A14" s="0" t="s">
        <v>31</v>
      </c>
      <c r="B14" s="0" t="s">
        <v>32</v>
      </c>
      <c r="C14" s="0" t="n">
        <v>28</v>
      </c>
      <c r="D14" s="0" t="s">
        <v>7</v>
      </c>
      <c r="E14" s="0" t="str">
        <f aca="false">IF(AND(C14&lt;$G$2,D14="Unpaid"),"Overdue","OK")</f>
        <v>OK</v>
      </c>
    </row>
    <row r="15" customFormat="false" ht="15" hidden="false" customHeight="false" outlineLevel="0" collapsed="false">
      <c r="A15" s="0" t="s">
        <v>33</v>
      </c>
      <c r="B15" s="0" t="s">
        <v>34</v>
      </c>
      <c r="C15" s="0" t="n">
        <v>16</v>
      </c>
      <c r="D15" s="0" t="s">
        <v>7</v>
      </c>
      <c r="E15" s="0" t="str">
        <f aca="false">IF(AND(C15&lt;$G$2,D15="Unpaid"),"Overdue","OK")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2026-10-28T09:49:36Z</dcterms:created>
  <dc:creator>openpyxl</dc:creator>
  <dc:description/>
  <dc:language>en-AE</dc:language>
  <cp:lastModifiedBy/>
  <dcterms:modified xsi:type="dcterms:W3CDTF">2026-10-28T09:49:36Z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